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_3" sheetId="1" r:id="rId4"/>
    <sheet state="visible" name="Instructivo" sheetId="2" r:id="rId5"/>
  </sheets>
  <definedNames/>
  <calcPr/>
  <extLst>
    <ext uri="GoogleSheetsCustomDataVersion2">
      <go:sheetsCustomData xmlns:go="http://customooxmlschemas.google.com/" r:id="rId6" roundtripDataChecksum="MdYRaTG1GL3hsQoAZur+lFpC5wBOiYLZxiYU5kWGOmU="/>
    </ext>
  </extLst>
</workbook>
</file>

<file path=xl/sharedStrings.xml><?xml version="1.0" encoding="utf-8"?>
<sst xmlns="http://schemas.openxmlformats.org/spreadsheetml/2006/main" count="130" uniqueCount="65">
  <si>
    <t>Lista de tareas de la iteración (Sprint Backlog): Instructivo</t>
  </si>
  <si>
    <t>Metodologías ágiles: Lista de tareas de la iteración</t>
  </si>
  <si>
    <t>Elaborado por: pmoinformatica.com</t>
  </si>
  <si>
    <t>Columna</t>
  </si>
  <si>
    <t>Instrucciones</t>
  </si>
  <si>
    <t>(Sprint Backlog)</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</si>
  <si>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</si>
  <si>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</si>
  <si>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Tarea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</si>
  <si>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</si>
  <si>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Dueño / Voluntario</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</si>
  <si>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</si>
  <si>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Estatus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</si>
  <si>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</si>
  <si>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estimadas totales</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</si>
  <si>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</si>
  <si>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</si>
  <si>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</si>
  <si>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Cons.</t>
  </si>
  <si>
    <t>Horas consumidas en la tarea en el día especificado.</t>
  </si>
  <si>
    <t>Rest.</t>
  </si>
  <si>
    <t>Horas que restan luego de registrarse el consumo diario. Se calcula tomando las horas que restaban el día anterior y se resta las horas consumidas en el día. Si se trata del primer día, se restan las horas del día 1 al estimado de horas totales.</t>
  </si>
  <si>
    <t>Total</t>
  </si>
  <si>
    <t>Día 1</t>
  </si>
  <si>
    <t>Registra la suma de todas las horas consumidas en el Sprint y las horas que restan finalmente. Las horas restantes deberían ser de cero si se logro ejecutar la tarea en su totalidad.</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</si>
  <si>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</si>
  <si>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</si>
  <si>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</si>
  <si>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</si>
  <si>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</si>
  <si>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</si>
  <si>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</si>
  <si>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</si>
  <si>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</si>
  <si>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</si>
  <si>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</si>
  <si>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</si>
  <si>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</si>
  <si>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</si>
  <si>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</si>
  <si>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</si>
  <si>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</si>
  <si>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</si>
  <si>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</si>
  <si>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Identificador (ID) de item de product backlog</t>
  </si>
  <si>
    <t>Enunciado del item de Product Backlog</t>
  </si>
  <si>
    <t>E01-H01</t>
  </si>
  <si>
    <t>Como administrador del sistema Necesito gestionar los perfiles de usuario Con la finalidad de controlar los permisos de acceso</t>
  </si>
  <si>
    <t xml:space="preserve">Crear usuario </t>
  </si>
  <si>
    <t>Martín Veliz</t>
  </si>
  <si>
    <t>Completado</t>
  </si>
  <si>
    <t>Editar usuario</t>
  </si>
  <si>
    <t>Eliminar usuario</t>
  </si>
  <si>
    <t>Gestión de roles</t>
  </si>
  <si>
    <t>E01-H02</t>
  </si>
  <si>
    <t>Como usuario del sistema Necesito registrarme e iniciar sesión con mi correo institucional Con la finalidad de validar mi pertenencia a la comunidad universitaria y acceder a la plataforma</t>
  </si>
  <si>
    <t>Registro de usuario</t>
  </si>
  <si>
    <t>Felipe Hermosilla</t>
  </si>
  <si>
    <t>Inicio de sesión</t>
  </si>
  <si>
    <t>Validación de dominio</t>
  </si>
  <si>
    <t>E01-H03</t>
  </si>
  <si>
    <t>Como usuario del sistema Necesito gestionar mi perfil académico declarando materias ofrecidas y requeridas Con la finalidad de definir mi oferta de tutorías y mis necesidades de aprendizaje</t>
  </si>
  <si>
    <t>Selección de asignaturas</t>
  </si>
  <si>
    <t>Edición de información personal</t>
  </si>
  <si>
    <t>Visualización de perfil</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</si>
</sst>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Arial"/>
      <scheme val="minor"/>
    </font>
    <font>
      <sz val="11.0"/>
      <color theme="1"/>
      <name val="Calibri"/>
    </font>
    <font>
      <b/>
      <sz val="22.0"/>
      <color theme="1"/>
      <name val="Calibri"/>
    </font>
    <font>
      <b/>
      <sz val="16.0"/>
      <color rgb="FF1F497D"/>
      <name val="Calibri"/>
    </font>
    <font>
      <sz val="11.0"/>
      <color theme="0"/>
      <name val="Calibri"/>
    </font>
    <font/>
    <font>
      <color theme="1"/>
      <name val="Arial"/>
      <scheme val="minor"/>
    </font>
    <font>
      <sz val="11.0"/>
      <color rgb="FF000000"/>
      <name val="Calibri"/>
    </font>
  </fonts>
  <fills count="7">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
      <patternFill patternType="solid">
        <fgColor rgb="FFD6E3BC"/>
        <bgColor rgb="FFD6E3BC"/>
      </patternFill>
    </fill>
    <fill>
      <patternFill patternType="solid">
        <fgColor rgb="FFB8CCE4"/>
        <bgColor rgb="FFB8CCE4"/>
      </patternFill>
    </fill>
  </fills>
  <borders count="14">
    <border/>
    <border>
      <left/>
      <right/>
      <top/>
      <bottom/>
    </border>
    <border>
      <left style="thin">
        <color rgb="FF000000"/>
      </left>
      <right style="thin">
        <color rgb="FF000000"/>
      </right>
      <top style="thin">
        <color rgb="FF000000"/>
      </top>
      <bottom style="thin">
        <color rgb="FF000000"/>
      </bottom>
    </border>
    <border>
      <left/>
      <right/>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bottom style="thin">
        <color rgb="FF000000"/>
      </bottom>
    </border>
    <border>
      <left/>
      <top/>
      <bottom/>
    </border>
    <border>
      <left style="thin">
        <color rgb="FF000000"/>
      </left>
      <right style="thin">
        <color rgb="FF000000"/>
      </right>
      <top style="thin">
        <color rgb="FF000000"/>
      </top>
    </border>
    <border>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Border="1" applyFill="1" applyFont="1"/>
    <xf borderId="2" fillId="2" fontId="1" numFmtId="0" xfId="0" applyAlignment="1" applyBorder="1" applyFill="1" applyFont="1">
      <alignment horizontal="left" shrinkToFit="0" vertical="top" wrapText="1"/>
    </xf>
    <xf borderId="3" fillId="2" fontId="1" numFmtId="0" xfId="0" applyBorder="1" applyFill="1" applyFont="1"/>
    <xf borderId="4" fillId="3" fontId="4" numFmtId="0" xfId="0" applyAlignment="1" applyBorder="1" applyFill="1" applyFont="1">
      <alignment horizontal="center" shrinkToFit="0" vertical="center" wrapText="1"/>
    </xf>
    <xf borderId="5" fillId="0" fontId="5" numFmtId="0" xfId="0" applyBorder="1" applyFont="1"/>
    <xf borderId="6" fillId="3" fontId="4" numFmtId="0" xfId="0" applyAlignment="1" applyBorder="1" applyFill="1" applyFont="1">
      <alignment horizontal="center" shrinkToFit="0" vertical="center" wrapText="1"/>
    </xf>
    <xf borderId="2" fillId="3" fontId="4" numFmtId="0" xfId="0" applyAlignment="1" applyBorder="1" applyFill="1" applyFont="1">
      <alignment horizontal="center" shrinkToFit="0" vertical="center" wrapText="1"/>
    </xf>
    <xf borderId="7" fillId="3" fontId="4" numFmtId="0" xfId="0" applyAlignment="1" applyBorder="1" applyFill="1" applyFont="1">
      <alignment horizontal="center" shrinkToFit="0" vertical="center" wrapText="1"/>
    </xf>
    <xf borderId="8" fillId="2" fontId="1" numFmtId="0" xfId="0" applyBorder="1" applyFill="1" applyFont="1"/>
    <xf borderId="9" fillId="0" fontId="6" numFmtId="0" xfId="0" applyAlignment="1" applyBorder="1" applyFont="1">
      <alignment horizontal="center" readingOrder="0" vertical="center"/>
    </xf>
    <xf borderId="9" fillId="2" fontId="1" numFmtId="0" xfId="0" applyAlignment="1" applyBorder="1" applyFill="1" applyFont="1">
      <alignment horizontal="left" readingOrder="0" shrinkToFit="0" vertical="center" wrapText="1"/>
    </xf>
    <xf borderId="2" fillId="4" fontId="1" numFmtId="0" xfId="0" applyAlignment="1" applyBorder="1" applyFill="1" applyFont="1">
      <alignment shrinkToFit="0" vertical="top" wrapText="1"/>
    </xf>
    <xf borderId="2" fillId="2" fontId="1" numFmtId="0" xfId="0" applyAlignment="1" applyBorder="1" applyFill="1" applyFont="1">
      <alignment horizontal="left" readingOrder="0" shrinkToFit="0" vertical="top" wrapText="1"/>
    </xf>
    <xf borderId="10" fillId="2" fontId="1" numFmtId="0" xfId="0" applyAlignment="1" applyBorder="1" applyFill="1" applyFont="1">
      <alignment horizontal="left" readingOrder="0" shrinkToFit="0" vertical="top" wrapText="1"/>
    </xf>
    <xf borderId="2" fillId="0" fontId="7" numFmtId="0" xfId="0" applyAlignment="1" applyBorder="1" applyFont="1">
      <alignment horizontal="left" readingOrder="0" shrinkToFit="0" wrapText="1"/>
    </xf>
    <xf borderId="2" fillId="2" fontId="1" numFmtId="0" xfId="0" applyAlignment="1" applyBorder="1" applyFill="1" applyFont="1">
      <alignment horizontal="right" readingOrder="0" shrinkToFit="0" vertical="top" wrapText="1"/>
    </xf>
    <xf borderId="2" fillId="2" fontId="1" numFmtId="0" xfId="0" applyAlignment="1" applyBorder="1" applyFill="1" applyFont="1">
      <alignment horizontal="right" shrinkToFit="0" vertical="top" wrapText="1"/>
    </xf>
    <xf borderId="2" fillId="5" fontId="1" numFmtId="0" xfId="0" applyAlignment="1" applyBorder="1" applyFill="1" applyFont="1">
      <alignment horizontal="right" shrinkToFit="0" vertical="top" wrapText="1"/>
    </xf>
    <xf borderId="2" fillId="6" fontId="1" numFmtId="0" xfId="0" applyAlignment="1" applyBorder="1" applyFill="1" applyFont="1">
      <alignment horizontal="right" shrinkToFit="0" vertical="top" wrapText="1"/>
    </xf>
    <xf borderId="11" fillId="0" fontId="5" numFmtId="0" xfId="0" applyBorder="1" applyFont="1"/>
    <xf borderId="2" fillId="0" fontId="1" numFmtId="0" xfId="0" applyAlignment="1" applyBorder="1" applyFont="1">
      <alignment readingOrder="0"/>
    </xf>
    <xf borderId="12" fillId="0" fontId="5" numFmtId="0" xfId="0" applyBorder="1" applyFont="1"/>
    <xf borderId="13" fillId="4" fontId="1" numFmtId="0" xfId="0" applyAlignment="1" applyBorder="1" applyFill="1" applyFont="1">
      <alignment shrinkToFit="0" vertical="top" wrapText="1"/>
    </xf>
    <xf borderId="2" fillId="0" fontId="1" numFmtId="0" xfId="0" applyAlignment="1" applyBorder="1" applyFont="1">
      <alignment vertical="bottom"/>
    </xf>
    <xf borderId="2" fillId="0" fontId="1" numFmtId="0" xfId="0" applyAlignment="1" applyBorder="1" applyFont="1">
      <alignment vertical="bottom"/>
    </xf>
    <xf borderId="7" fillId="4" fontId="1" numFmtId="0" xfId="0" applyAlignment="1" applyBorder="1" applyFill="1" applyFont="1">
      <alignment shrinkToFit="0" vertical="top" wrapText="1"/>
    </xf>
    <xf borderId="2" fillId="0" fontId="1" numFmtId="0" xfId="0" applyAlignment="1" applyBorder="1" applyFont="1">
      <alignment readingOrder="0" vertical="center"/>
    </xf>
    <xf borderId="9" fillId="2" fontId="1" numFmtId="0" xfId="0" applyAlignment="1" applyBorder="1" applyFill="1" applyFont="1">
      <alignment horizontal="center" shrinkToFit="0" vertical="center" wrapText="1"/>
    </xf>
    <xf borderId="10" fillId="2" fontId="1" numFmtId="0" xfId="0" applyAlignment="1" applyBorder="1" applyFill="1" applyFont="1">
      <alignment shrinkToFit="0" wrapText="1"/>
    </xf>
    <xf borderId="2" fillId="0" fontId="1" numFmtId="0" xfId="0" applyBorder="1" applyFont="1"/>
    <xf borderId="10" fillId="2" fontId="1"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5"/>
    <col customWidth="1" min="2" max="2" width="14.38"/>
    <col customWidth="1" min="3" max="3" width="29.75"/>
    <col customWidth="1" min="4" max="4" width="18.25"/>
    <col customWidth="1" min="5" max="5" width="14.88"/>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2"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5</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6"/>
      <c r="H4" s="7" t="s">
        <v>23</v>
      </c>
      <c r="I4" s="8"/>
      <c r="J4" s="9"/>
      <c r="K4" s="7" t="s">
        <v>25</v>
      </c>
      <c r="L4" s="8"/>
      <c r="M4" s="9"/>
      <c r="N4" s="7" t="s">
        <v>26</v>
      </c>
      <c r="O4" s="8"/>
      <c r="P4" s="9"/>
      <c r="Q4" s="7" t="s">
        <v>27</v>
      </c>
      <c r="R4" s="8"/>
      <c r="S4" s="9"/>
      <c r="T4" s="7" t="s">
        <v>28</v>
      </c>
      <c r="U4" s="8"/>
      <c r="V4" s="9"/>
      <c r="W4" s="7" t="s">
        <v>29</v>
      </c>
      <c r="X4" s="8"/>
      <c r="Y4" s="9"/>
      <c r="Z4" s="7" t="s">
        <v>30</v>
      </c>
      <c r="AA4" s="8"/>
      <c r="AB4" s="9"/>
      <c r="AC4" s="7" t="s">
        <v>31</v>
      </c>
      <c r="AD4" s="8"/>
      <c r="AE4" s="9"/>
      <c r="AF4" s="7" t="s">
        <v>32</v>
      </c>
      <c r="AG4" s="8"/>
      <c r="AH4" s="9"/>
      <c r="AI4" s="7" t="s">
        <v>33</v>
      </c>
      <c r="AJ4" s="8"/>
      <c r="AK4" s="9"/>
      <c r="AL4" s="7" t="s">
        <v>34</v>
      </c>
      <c r="AM4" s="8"/>
      <c r="AN4" s="9"/>
      <c r="AO4" s="7" t="s">
        <v>35</v>
      </c>
      <c r="AP4" s="8"/>
      <c r="AQ4" s="9"/>
      <c r="AR4" s="7" t="s">
        <v>36</v>
      </c>
      <c r="AS4" s="8"/>
      <c r="AT4" s="9"/>
      <c r="AU4" s="7" t="s">
        <v>37</v>
      </c>
      <c r="AV4" s="8"/>
      <c r="AW4" s="9"/>
      <c r="AX4" s="7" t="s">
        <v>38</v>
      </c>
      <c r="AY4" s="8"/>
      <c r="AZ4" s="9"/>
      <c r="BA4" s="7" t="s">
        <v>39</v>
      </c>
      <c r="BB4" s="8"/>
      <c r="BC4" s="9"/>
      <c r="BD4" s="7" t="s">
        <v>40</v>
      </c>
      <c r="BE4" s="8"/>
      <c r="BF4" s="9"/>
      <c r="BG4" s="7" t="s">
        <v>41</v>
      </c>
      <c r="BH4" s="8"/>
      <c r="BI4" s="9"/>
      <c r="BJ4" s="7" t="s">
        <v>42</v>
      </c>
      <c r="BK4" s="8"/>
      <c r="BL4" s="9"/>
      <c r="BM4" s="7" t="s">
        <v>43</v>
      </c>
      <c r="BN4" s="8"/>
      <c r="BO4" s="9"/>
      <c r="BP4" s="7" t="s">
        <v>22</v>
      </c>
      <c r="BQ4" s="8"/>
    </row>
    <row r="5">
      <c r="A5" s="1"/>
      <c r="B5" s="10" t="s">
        <v>44</v>
      </c>
      <c r="C5" s="10" t="s">
        <v>45</v>
      </c>
      <c r="D5" s="10" t="s">
        <v>8</v>
      </c>
      <c r="E5" s="10" t="s">
        <v>10</v>
      </c>
      <c r="F5" s="10" t="s">
        <v>12</v>
      </c>
      <c r="G5" s="10" t="s">
        <v>14</v>
      </c>
      <c r="H5" s="11" t="s">
        <v>18</v>
      </c>
      <c r="I5" s="11" t="s">
        <v>20</v>
      </c>
      <c r="J5" s="11"/>
      <c r="K5" s="11" t="s">
        <v>18</v>
      </c>
      <c r="L5" s="11" t="s">
        <v>20</v>
      </c>
      <c r="M5" s="11"/>
      <c r="N5" s="11" t="s">
        <v>18</v>
      </c>
      <c r="O5" s="11" t="s">
        <v>20</v>
      </c>
      <c r="P5" s="11"/>
      <c r="Q5" s="11" t="s">
        <v>18</v>
      </c>
      <c r="R5" s="11" t="s">
        <v>20</v>
      </c>
      <c r="S5" s="11"/>
      <c r="T5" s="11" t="s">
        <v>18</v>
      </c>
      <c r="U5" s="11" t="s">
        <v>20</v>
      </c>
      <c r="V5" s="11"/>
      <c r="W5" s="11" t="s">
        <v>18</v>
      </c>
      <c r="X5" s="11" t="s">
        <v>20</v>
      </c>
      <c r="Y5" s="11"/>
      <c r="Z5" s="11" t="s">
        <v>18</v>
      </c>
      <c r="AA5" s="11" t="s">
        <v>20</v>
      </c>
      <c r="AB5" s="11"/>
      <c r="AC5" s="11" t="s">
        <v>18</v>
      </c>
      <c r="AD5" s="11" t="s">
        <v>20</v>
      </c>
      <c r="AE5" s="11"/>
      <c r="AF5" s="11" t="s">
        <v>18</v>
      </c>
      <c r="AG5" s="11" t="s">
        <v>20</v>
      </c>
      <c r="AH5" s="11"/>
      <c r="AI5" s="11" t="s">
        <v>18</v>
      </c>
      <c r="AJ5" s="11" t="s">
        <v>20</v>
      </c>
      <c r="AK5" s="11"/>
      <c r="AL5" s="11" t="s">
        <v>18</v>
      </c>
      <c r="AM5" s="11" t="s">
        <v>20</v>
      </c>
      <c r="AN5" s="11"/>
      <c r="AO5" s="11" t="s">
        <v>18</v>
      </c>
      <c r="AP5" s="11" t="s">
        <v>20</v>
      </c>
      <c r="AQ5" s="11"/>
      <c r="AR5" s="11" t="s">
        <v>18</v>
      </c>
      <c r="AS5" s="11" t="s">
        <v>20</v>
      </c>
      <c r="AT5" s="11"/>
      <c r="AU5" s="11" t="s">
        <v>18</v>
      </c>
      <c r="AV5" s="11" t="s">
        <v>20</v>
      </c>
      <c r="AW5" s="11"/>
      <c r="AX5" s="11" t="s">
        <v>18</v>
      </c>
      <c r="AY5" s="11" t="s">
        <v>20</v>
      </c>
      <c r="AZ5" s="11"/>
      <c r="BA5" s="11" t="s">
        <v>18</v>
      </c>
      <c r="BB5" s="11" t="s">
        <v>20</v>
      </c>
      <c r="BC5" s="11"/>
      <c r="BD5" s="11" t="s">
        <v>18</v>
      </c>
      <c r="BE5" s="11" t="s">
        <v>20</v>
      </c>
      <c r="BF5" s="11"/>
      <c r="BG5" s="11" t="s">
        <v>18</v>
      </c>
      <c r="BH5" s="11" t="s">
        <v>20</v>
      </c>
      <c r="BI5" s="11"/>
      <c r="BJ5" s="11" t="s">
        <v>18</v>
      </c>
      <c r="BK5" s="11" t="s">
        <v>20</v>
      </c>
      <c r="BL5" s="11"/>
      <c r="BM5" s="11" t="s">
        <v>18</v>
      </c>
      <c r="BN5" s="11" t="s">
        <v>20</v>
      </c>
      <c r="BO5" s="11"/>
      <c r="BP5" s="11" t="s">
        <v>18</v>
      </c>
      <c r="BQ5" s="11" t="s">
        <v>20</v>
      </c>
    </row>
    <row r="6">
      <c r="A6" s="12"/>
      <c r="B6" s="13" t="s">
        <v>46</v>
      </c>
      <c r="C6" s="14" t="s">
        <v>47</v>
      </c>
      <c r="D6" s="15" t="s">
        <v>48</v>
      </c>
      <c r="E6" s="16" t="s">
        <v>49</v>
      </c>
      <c r="F6" s="17" t="s">
        <v>50</v>
      </c>
      <c r="G6" s="18">
        <v>5.0</v>
      </c>
      <c r="H6" s="19">
        <v>4.0</v>
      </c>
      <c r="I6" s="20">
        <f t="shared" ref="I6:I19" si="1">G6-H6</f>
        <v>1</v>
      </c>
      <c r="J6" s="21"/>
      <c r="K6" s="19">
        <v>1.0</v>
      </c>
      <c r="L6" s="20">
        <f t="shared" ref="L6:L19" si="2">I6-K6</f>
        <v>0</v>
      </c>
      <c r="M6" s="21"/>
      <c r="N6" s="20"/>
      <c r="O6" s="20">
        <f t="shared" ref="O6:O19" si="3">L6-N6</f>
        <v>0</v>
      </c>
      <c r="P6" s="21"/>
      <c r="Q6" s="20"/>
      <c r="R6" s="20">
        <f t="shared" ref="R6:R19" si="4">O6-Q6</f>
        <v>0</v>
      </c>
      <c r="S6" s="21"/>
      <c r="T6" s="20"/>
      <c r="U6" s="20">
        <f t="shared" ref="U6:U19" si="5">R6-T6</f>
        <v>0</v>
      </c>
      <c r="V6" s="21"/>
      <c r="W6" s="20"/>
      <c r="X6" s="20">
        <f t="shared" ref="X6:X19" si="6">U6-W6</f>
        <v>0</v>
      </c>
      <c r="Y6" s="21"/>
      <c r="Z6" s="20"/>
      <c r="AA6" s="20">
        <f t="shared" ref="AA6:AA19" si="7">X6-Z6</f>
        <v>0</v>
      </c>
      <c r="AB6" s="21"/>
      <c r="AC6" s="20"/>
      <c r="AD6" s="20">
        <f t="shared" ref="AD6:AD19" si="8">AA6-AC6</f>
        <v>0</v>
      </c>
      <c r="AE6" s="21"/>
      <c r="AF6" s="20"/>
      <c r="AG6" s="20">
        <f t="shared" ref="AG6:AG19" si="9">AD6-AF6</f>
        <v>0</v>
      </c>
      <c r="AH6" s="21"/>
      <c r="AI6" s="20"/>
      <c r="AJ6" s="20">
        <f t="shared" ref="AJ6:AJ19" si="10">AG6-AI6</f>
        <v>0</v>
      </c>
      <c r="AK6" s="21"/>
      <c r="AL6" s="20"/>
      <c r="AM6" s="20">
        <f t="shared" ref="AM6:AM19" si="11">AJ6-AL6</f>
        <v>0</v>
      </c>
      <c r="AN6" s="21"/>
      <c r="AO6" s="20"/>
      <c r="AP6" s="20">
        <f t="shared" ref="AP6:AP19" si="12">AM6-AO6</f>
        <v>0</v>
      </c>
      <c r="AQ6" s="21"/>
      <c r="AR6" s="20"/>
      <c r="AS6" s="20">
        <f t="shared" ref="AS6:AS19" si="13">AP6-AR6</f>
        <v>0</v>
      </c>
      <c r="AT6" s="21"/>
      <c r="AU6" s="20"/>
      <c r="AV6" s="20">
        <f t="shared" ref="AV6:AV19" si="14">AS6-AU6</f>
        <v>0</v>
      </c>
      <c r="AW6" s="21"/>
      <c r="AX6" s="20"/>
      <c r="AY6" s="20">
        <f t="shared" ref="AY6:AY19" si="15">AV6-AX6</f>
        <v>0</v>
      </c>
      <c r="AZ6" s="21"/>
      <c r="BA6" s="20"/>
      <c r="BB6" s="20">
        <f t="shared" ref="BB6:BB19" si="16">AY6-BA6</f>
        <v>0</v>
      </c>
      <c r="BC6" s="21"/>
      <c r="BD6" s="20"/>
      <c r="BE6" s="20">
        <f t="shared" ref="BE6:BE19" si="17">BB6-BD6</f>
        <v>0</v>
      </c>
      <c r="BF6" s="21"/>
      <c r="BG6" s="20"/>
      <c r="BH6" s="20">
        <f t="shared" ref="BH6:BH19" si="18">BE6-BG6</f>
        <v>0</v>
      </c>
      <c r="BI6" s="21"/>
      <c r="BJ6" s="20"/>
      <c r="BK6" s="20">
        <f t="shared" ref="BK6:BK19" si="19">BH6-BJ6</f>
        <v>0</v>
      </c>
      <c r="BL6" s="21"/>
      <c r="BM6" s="20"/>
      <c r="BN6" s="20">
        <f t="shared" ref="BN6:BN19" si="20">BK6-BM6</f>
        <v>0</v>
      </c>
      <c r="BO6" s="21"/>
      <c r="BP6" s="22">
        <f t="shared" ref="BP6:BP19" si="21">H6+K6+N6+Q6+T6+W6+Z6+AC6+AF6+AI6+AL6+AO6+AR6+AU6+AX6+BA6+BD6+BG6+BJ6+BM6</f>
        <v>5</v>
      </c>
      <c r="BQ6" s="22">
        <f t="shared" ref="BQ6:BQ19" si="22">G6-BP6</f>
        <v>0</v>
      </c>
    </row>
    <row r="7">
      <c r="A7" s="12"/>
      <c r="B7" s="23"/>
      <c r="C7" s="23"/>
      <c r="D7" s="15" t="s">
        <v>51</v>
      </c>
      <c r="E7" s="16" t="s">
        <v>49</v>
      </c>
      <c r="F7" s="17" t="s">
        <v>50</v>
      </c>
      <c r="G7" s="18">
        <v>4.0</v>
      </c>
      <c r="H7" s="20"/>
      <c r="I7" s="20">
        <f t="shared" si="1"/>
        <v>4</v>
      </c>
      <c r="J7" s="21"/>
      <c r="K7" s="19">
        <v>4.0</v>
      </c>
      <c r="L7" s="20">
        <f t="shared" si="2"/>
        <v>0</v>
      </c>
      <c r="M7" s="21"/>
      <c r="N7" s="20"/>
      <c r="O7" s="20">
        <f t="shared" si="3"/>
        <v>0</v>
      </c>
      <c r="P7" s="21"/>
      <c r="Q7" s="20"/>
      <c r="R7" s="20">
        <f t="shared" si="4"/>
        <v>0</v>
      </c>
      <c r="S7" s="21"/>
      <c r="T7" s="20"/>
      <c r="U7" s="20">
        <f t="shared" si="5"/>
        <v>0</v>
      </c>
      <c r="V7" s="21"/>
      <c r="W7" s="20"/>
      <c r="X7" s="20">
        <f t="shared" si="6"/>
        <v>0</v>
      </c>
      <c r="Y7" s="21"/>
      <c r="Z7" s="20"/>
      <c r="AA7" s="20">
        <f t="shared" si="7"/>
        <v>0</v>
      </c>
      <c r="AB7" s="21"/>
      <c r="AC7" s="20"/>
      <c r="AD7" s="20">
        <f t="shared" si="8"/>
        <v>0</v>
      </c>
      <c r="AE7" s="21"/>
      <c r="AF7" s="20"/>
      <c r="AG7" s="20">
        <f t="shared" si="9"/>
        <v>0</v>
      </c>
      <c r="AH7" s="21"/>
      <c r="AI7" s="20"/>
      <c r="AJ7" s="20">
        <f t="shared" si="10"/>
        <v>0</v>
      </c>
      <c r="AK7" s="21"/>
      <c r="AL7" s="20"/>
      <c r="AM7" s="20">
        <f t="shared" si="11"/>
        <v>0</v>
      </c>
      <c r="AN7" s="21"/>
      <c r="AO7" s="20"/>
      <c r="AP7" s="20">
        <f t="shared" si="12"/>
        <v>0</v>
      </c>
      <c r="AQ7" s="21"/>
      <c r="AR7" s="20"/>
      <c r="AS7" s="20">
        <f t="shared" si="13"/>
        <v>0</v>
      </c>
      <c r="AT7" s="21"/>
      <c r="AU7" s="20"/>
      <c r="AV7" s="20">
        <f t="shared" si="14"/>
        <v>0</v>
      </c>
      <c r="AW7" s="21"/>
      <c r="AX7" s="20"/>
      <c r="AY7" s="20">
        <f t="shared" si="15"/>
        <v>0</v>
      </c>
      <c r="AZ7" s="21"/>
      <c r="BA7" s="20"/>
      <c r="BB7" s="20">
        <f t="shared" si="16"/>
        <v>0</v>
      </c>
      <c r="BC7" s="21"/>
      <c r="BD7" s="20"/>
      <c r="BE7" s="20">
        <f t="shared" si="17"/>
        <v>0</v>
      </c>
      <c r="BF7" s="21"/>
      <c r="BG7" s="20"/>
      <c r="BH7" s="20">
        <f t="shared" si="18"/>
        <v>0</v>
      </c>
      <c r="BI7" s="21"/>
      <c r="BJ7" s="20"/>
      <c r="BK7" s="20">
        <f t="shared" si="19"/>
        <v>0</v>
      </c>
      <c r="BL7" s="21"/>
      <c r="BM7" s="20"/>
      <c r="BN7" s="20">
        <f t="shared" si="20"/>
        <v>0</v>
      </c>
      <c r="BO7" s="21"/>
      <c r="BP7" s="22">
        <f t="shared" si="21"/>
        <v>4</v>
      </c>
      <c r="BQ7" s="22">
        <f t="shared" si="22"/>
        <v>0</v>
      </c>
    </row>
    <row r="8">
      <c r="A8" s="12"/>
      <c r="B8" s="23"/>
      <c r="C8" s="23"/>
      <c r="D8" s="15" t="s">
        <v>52</v>
      </c>
      <c r="E8" s="24" t="s">
        <v>49</v>
      </c>
      <c r="F8" s="17" t="s">
        <v>50</v>
      </c>
      <c r="G8" s="18">
        <v>3.0</v>
      </c>
      <c r="H8" s="20"/>
      <c r="I8" s="20">
        <f t="shared" si="1"/>
        <v>3</v>
      </c>
      <c r="J8" s="21"/>
      <c r="K8" s="20"/>
      <c r="L8" s="20">
        <f t="shared" si="2"/>
        <v>3</v>
      </c>
      <c r="M8" s="21"/>
      <c r="N8" s="19">
        <v>3.0</v>
      </c>
      <c r="O8" s="20">
        <f t="shared" si="3"/>
        <v>0</v>
      </c>
      <c r="P8" s="21"/>
      <c r="Q8" s="20"/>
      <c r="R8" s="20">
        <f t="shared" si="4"/>
        <v>0</v>
      </c>
      <c r="S8" s="21"/>
      <c r="T8" s="20"/>
      <c r="U8" s="20">
        <f t="shared" si="5"/>
        <v>0</v>
      </c>
      <c r="V8" s="21"/>
      <c r="W8" s="20"/>
      <c r="X8" s="20">
        <f t="shared" si="6"/>
        <v>0</v>
      </c>
      <c r="Y8" s="21"/>
      <c r="Z8" s="20"/>
      <c r="AA8" s="20">
        <f t="shared" si="7"/>
        <v>0</v>
      </c>
      <c r="AB8" s="21"/>
      <c r="AC8" s="20"/>
      <c r="AD8" s="20">
        <f t="shared" si="8"/>
        <v>0</v>
      </c>
      <c r="AE8" s="21"/>
      <c r="AF8" s="20"/>
      <c r="AG8" s="20">
        <f t="shared" si="9"/>
        <v>0</v>
      </c>
      <c r="AH8" s="21"/>
      <c r="AI8" s="20"/>
      <c r="AJ8" s="20">
        <f t="shared" si="10"/>
        <v>0</v>
      </c>
      <c r="AK8" s="21"/>
      <c r="AL8" s="20"/>
      <c r="AM8" s="20">
        <f t="shared" si="11"/>
        <v>0</v>
      </c>
      <c r="AN8" s="21"/>
      <c r="AO8" s="20"/>
      <c r="AP8" s="20">
        <f t="shared" si="12"/>
        <v>0</v>
      </c>
      <c r="AQ8" s="21"/>
      <c r="AR8" s="20"/>
      <c r="AS8" s="20">
        <f t="shared" si="13"/>
        <v>0</v>
      </c>
      <c r="AT8" s="21"/>
      <c r="AU8" s="20"/>
      <c r="AV8" s="20">
        <f t="shared" si="14"/>
        <v>0</v>
      </c>
      <c r="AW8" s="21"/>
      <c r="AX8" s="20"/>
      <c r="AY8" s="20">
        <f t="shared" si="15"/>
        <v>0</v>
      </c>
      <c r="AZ8" s="21"/>
      <c r="BA8" s="20"/>
      <c r="BB8" s="20">
        <f t="shared" si="16"/>
        <v>0</v>
      </c>
      <c r="BC8" s="21"/>
      <c r="BD8" s="20"/>
      <c r="BE8" s="20">
        <f t="shared" si="17"/>
        <v>0</v>
      </c>
      <c r="BF8" s="21"/>
      <c r="BG8" s="20"/>
      <c r="BH8" s="20">
        <f t="shared" si="18"/>
        <v>0</v>
      </c>
      <c r="BI8" s="21"/>
      <c r="BJ8" s="20"/>
      <c r="BK8" s="20">
        <f t="shared" si="19"/>
        <v>0</v>
      </c>
      <c r="BL8" s="21"/>
      <c r="BM8" s="20"/>
      <c r="BN8" s="20">
        <f t="shared" si="20"/>
        <v>0</v>
      </c>
      <c r="BO8" s="21"/>
      <c r="BP8" s="22">
        <f t="shared" si="21"/>
        <v>3</v>
      </c>
      <c r="BQ8" s="22">
        <f t="shared" si="22"/>
        <v>0</v>
      </c>
    </row>
    <row r="9">
      <c r="A9" s="12"/>
      <c r="B9" s="25"/>
      <c r="C9" s="25"/>
      <c r="D9" s="26" t="s">
        <v>53</v>
      </c>
      <c r="E9" s="24" t="s">
        <v>49</v>
      </c>
      <c r="F9" s="17" t="s">
        <v>50</v>
      </c>
      <c r="G9" s="18">
        <v>6.0</v>
      </c>
      <c r="H9" s="20"/>
      <c r="I9" s="20">
        <f t="shared" si="1"/>
        <v>6</v>
      </c>
      <c r="J9" s="21"/>
      <c r="K9" s="20"/>
      <c r="L9" s="20">
        <f t="shared" si="2"/>
        <v>6</v>
      </c>
      <c r="M9" s="21"/>
      <c r="N9" s="19">
        <v>2.0</v>
      </c>
      <c r="O9" s="20">
        <f t="shared" si="3"/>
        <v>4</v>
      </c>
      <c r="P9" s="21"/>
      <c r="Q9" s="19">
        <v>4.0</v>
      </c>
      <c r="R9" s="20">
        <f t="shared" si="4"/>
        <v>0</v>
      </c>
      <c r="S9" s="21"/>
      <c r="T9" s="20"/>
      <c r="U9" s="20">
        <f t="shared" si="5"/>
        <v>0</v>
      </c>
      <c r="V9" s="21"/>
      <c r="W9" s="20"/>
      <c r="X9" s="20">
        <f t="shared" si="6"/>
        <v>0</v>
      </c>
      <c r="Y9" s="21"/>
      <c r="Z9" s="20"/>
      <c r="AA9" s="20">
        <f t="shared" si="7"/>
        <v>0</v>
      </c>
      <c r="AB9" s="21"/>
      <c r="AC9" s="20"/>
      <c r="AD9" s="20">
        <f t="shared" si="8"/>
        <v>0</v>
      </c>
      <c r="AE9" s="21"/>
      <c r="AF9" s="20"/>
      <c r="AG9" s="20">
        <f t="shared" si="9"/>
        <v>0</v>
      </c>
      <c r="AH9" s="21"/>
      <c r="AI9" s="20"/>
      <c r="AJ9" s="20">
        <f t="shared" si="10"/>
        <v>0</v>
      </c>
      <c r="AK9" s="21"/>
      <c r="AL9" s="20"/>
      <c r="AM9" s="20">
        <f t="shared" si="11"/>
        <v>0</v>
      </c>
      <c r="AN9" s="21"/>
      <c r="AO9" s="20"/>
      <c r="AP9" s="20">
        <f t="shared" si="12"/>
        <v>0</v>
      </c>
      <c r="AQ9" s="21"/>
      <c r="AR9" s="20"/>
      <c r="AS9" s="20">
        <f t="shared" si="13"/>
        <v>0</v>
      </c>
      <c r="AT9" s="21"/>
      <c r="AU9" s="20"/>
      <c r="AV9" s="20">
        <f t="shared" si="14"/>
        <v>0</v>
      </c>
      <c r="AW9" s="21"/>
      <c r="AX9" s="20"/>
      <c r="AY9" s="20">
        <f t="shared" si="15"/>
        <v>0</v>
      </c>
      <c r="AZ9" s="21"/>
      <c r="BA9" s="20"/>
      <c r="BB9" s="20">
        <f t="shared" si="16"/>
        <v>0</v>
      </c>
      <c r="BC9" s="21"/>
      <c r="BD9" s="20"/>
      <c r="BE9" s="20">
        <f t="shared" si="17"/>
        <v>0</v>
      </c>
      <c r="BF9" s="21"/>
      <c r="BG9" s="20"/>
      <c r="BH9" s="20">
        <f t="shared" si="18"/>
        <v>0</v>
      </c>
      <c r="BI9" s="21"/>
      <c r="BJ9" s="20"/>
      <c r="BK9" s="20">
        <f t="shared" si="19"/>
        <v>0</v>
      </c>
      <c r="BL9" s="21"/>
      <c r="BM9" s="20"/>
      <c r="BN9" s="20">
        <f t="shared" si="20"/>
        <v>0</v>
      </c>
      <c r="BO9" s="21"/>
      <c r="BP9" s="22">
        <f t="shared" si="21"/>
        <v>6</v>
      </c>
      <c r="BQ9" s="22">
        <f t="shared" si="22"/>
        <v>0</v>
      </c>
    </row>
    <row r="10">
      <c r="A10" s="12"/>
      <c r="B10" s="13" t="s">
        <v>54</v>
      </c>
      <c r="C10" s="14" t="s">
        <v>55</v>
      </c>
      <c r="D10" s="27" t="s">
        <v>56</v>
      </c>
      <c r="E10" s="24" t="s">
        <v>57</v>
      </c>
      <c r="F10" s="17" t="s">
        <v>50</v>
      </c>
      <c r="G10" s="16">
        <v>8.0</v>
      </c>
      <c r="H10" s="20"/>
      <c r="I10" s="20">
        <f t="shared" si="1"/>
        <v>8</v>
      </c>
      <c r="J10" s="21"/>
      <c r="K10" s="20"/>
      <c r="L10" s="20">
        <f t="shared" si="2"/>
        <v>8</v>
      </c>
      <c r="M10" s="21"/>
      <c r="N10" s="20"/>
      <c r="O10" s="20">
        <f t="shared" si="3"/>
        <v>8</v>
      </c>
      <c r="P10" s="21"/>
      <c r="Q10" s="19">
        <v>3.0</v>
      </c>
      <c r="R10" s="20">
        <f t="shared" si="4"/>
        <v>5</v>
      </c>
      <c r="S10" s="21"/>
      <c r="T10" s="19">
        <v>3.0</v>
      </c>
      <c r="U10" s="20">
        <f t="shared" si="5"/>
        <v>2</v>
      </c>
      <c r="V10" s="21"/>
      <c r="W10" s="19">
        <v>2.0</v>
      </c>
      <c r="X10" s="20">
        <f t="shared" si="6"/>
        <v>0</v>
      </c>
      <c r="Y10" s="21"/>
      <c r="Z10" s="20"/>
      <c r="AA10" s="20">
        <f t="shared" si="7"/>
        <v>0</v>
      </c>
      <c r="AB10" s="21"/>
      <c r="AC10" s="20"/>
      <c r="AD10" s="20">
        <f t="shared" si="8"/>
        <v>0</v>
      </c>
      <c r="AE10" s="21"/>
      <c r="AF10" s="20"/>
      <c r="AG10" s="20">
        <f t="shared" si="9"/>
        <v>0</v>
      </c>
      <c r="AH10" s="21"/>
      <c r="AI10" s="20"/>
      <c r="AJ10" s="20">
        <f t="shared" si="10"/>
        <v>0</v>
      </c>
      <c r="AK10" s="21"/>
      <c r="AL10" s="20"/>
      <c r="AM10" s="20">
        <f t="shared" si="11"/>
        <v>0</v>
      </c>
      <c r="AN10" s="21"/>
      <c r="AO10" s="20"/>
      <c r="AP10" s="20">
        <f t="shared" si="12"/>
        <v>0</v>
      </c>
      <c r="AQ10" s="21"/>
      <c r="AR10" s="20"/>
      <c r="AS10" s="20">
        <f t="shared" si="13"/>
        <v>0</v>
      </c>
      <c r="AT10" s="21"/>
      <c r="AU10" s="20"/>
      <c r="AV10" s="20">
        <f t="shared" si="14"/>
        <v>0</v>
      </c>
      <c r="AW10" s="21"/>
      <c r="AX10" s="20"/>
      <c r="AY10" s="20">
        <f t="shared" si="15"/>
        <v>0</v>
      </c>
      <c r="AZ10" s="21"/>
      <c r="BA10" s="20"/>
      <c r="BB10" s="20">
        <f t="shared" si="16"/>
        <v>0</v>
      </c>
      <c r="BC10" s="21"/>
      <c r="BD10" s="20"/>
      <c r="BE10" s="20">
        <f t="shared" si="17"/>
        <v>0</v>
      </c>
      <c r="BF10" s="21"/>
      <c r="BG10" s="20"/>
      <c r="BH10" s="20">
        <f t="shared" si="18"/>
        <v>0</v>
      </c>
      <c r="BI10" s="21"/>
      <c r="BJ10" s="20"/>
      <c r="BK10" s="20">
        <f t="shared" si="19"/>
        <v>0</v>
      </c>
      <c r="BL10" s="21"/>
      <c r="BM10" s="20"/>
      <c r="BN10" s="20">
        <f t="shared" si="20"/>
        <v>0</v>
      </c>
      <c r="BO10" s="21"/>
      <c r="BP10" s="22">
        <f t="shared" si="21"/>
        <v>8</v>
      </c>
      <c r="BQ10" s="22">
        <f t="shared" si="22"/>
        <v>0</v>
      </c>
    </row>
    <row r="11">
      <c r="A11" s="12"/>
      <c r="B11" s="23"/>
      <c r="C11" s="23"/>
      <c r="D11" s="28" t="s">
        <v>58</v>
      </c>
      <c r="E11" s="24" t="s">
        <v>57</v>
      </c>
      <c r="F11" s="17" t="s">
        <v>50</v>
      </c>
      <c r="G11" s="16">
        <v>6.0</v>
      </c>
      <c r="H11" s="20"/>
      <c r="I11" s="20">
        <f t="shared" si="1"/>
        <v>6</v>
      </c>
      <c r="J11" s="21"/>
      <c r="K11" s="20"/>
      <c r="L11" s="20">
        <f t="shared" si="2"/>
        <v>6</v>
      </c>
      <c r="M11" s="21"/>
      <c r="N11" s="20"/>
      <c r="O11" s="20">
        <f t="shared" si="3"/>
        <v>6</v>
      </c>
      <c r="P11" s="21"/>
      <c r="Q11" s="20"/>
      <c r="R11" s="20">
        <f t="shared" si="4"/>
        <v>6</v>
      </c>
      <c r="S11" s="21"/>
      <c r="T11" s="20"/>
      <c r="U11" s="20">
        <f t="shared" si="5"/>
        <v>6</v>
      </c>
      <c r="V11" s="21"/>
      <c r="W11" s="19">
        <v>3.0</v>
      </c>
      <c r="X11" s="20">
        <f t="shared" si="6"/>
        <v>3</v>
      </c>
      <c r="Y11" s="21"/>
      <c r="Z11" s="19">
        <v>3.0</v>
      </c>
      <c r="AA11" s="20">
        <f t="shared" si="7"/>
        <v>0</v>
      </c>
      <c r="AB11" s="21"/>
      <c r="AC11" s="20"/>
      <c r="AD11" s="20">
        <f t="shared" si="8"/>
        <v>0</v>
      </c>
      <c r="AE11" s="21"/>
      <c r="AF11" s="20"/>
      <c r="AG11" s="20">
        <f t="shared" si="9"/>
        <v>0</v>
      </c>
      <c r="AH11" s="21"/>
      <c r="AI11" s="20"/>
      <c r="AJ11" s="20">
        <f t="shared" si="10"/>
        <v>0</v>
      </c>
      <c r="AK11" s="21"/>
      <c r="AL11" s="20"/>
      <c r="AM11" s="20">
        <f t="shared" si="11"/>
        <v>0</v>
      </c>
      <c r="AN11" s="21"/>
      <c r="AO11" s="20"/>
      <c r="AP11" s="20">
        <f t="shared" si="12"/>
        <v>0</v>
      </c>
      <c r="AQ11" s="21"/>
      <c r="AR11" s="20"/>
      <c r="AS11" s="20">
        <f t="shared" si="13"/>
        <v>0</v>
      </c>
      <c r="AT11" s="21"/>
      <c r="AU11" s="20"/>
      <c r="AV11" s="20">
        <f t="shared" si="14"/>
        <v>0</v>
      </c>
      <c r="AW11" s="21"/>
      <c r="AX11" s="20"/>
      <c r="AY11" s="20">
        <f t="shared" si="15"/>
        <v>0</v>
      </c>
      <c r="AZ11" s="21"/>
      <c r="BA11" s="20"/>
      <c r="BB11" s="20">
        <f t="shared" si="16"/>
        <v>0</v>
      </c>
      <c r="BC11" s="21"/>
      <c r="BD11" s="20"/>
      <c r="BE11" s="20">
        <f t="shared" si="17"/>
        <v>0</v>
      </c>
      <c r="BF11" s="21"/>
      <c r="BG11" s="20"/>
      <c r="BH11" s="20">
        <f t="shared" si="18"/>
        <v>0</v>
      </c>
      <c r="BI11" s="21"/>
      <c r="BJ11" s="20"/>
      <c r="BK11" s="20">
        <f t="shared" si="19"/>
        <v>0</v>
      </c>
      <c r="BL11" s="21"/>
      <c r="BM11" s="20"/>
      <c r="BN11" s="20">
        <f t="shared" si="20"/>
        <v>0</v>
      </c>
      <c r="BO11" s="21"/>
      <c r="BP11" s="22">
        <f t="shared" si="21"/>
        <v>6</v>
      </c>
      <c r="BQ11" s="22">
        <f t="shared" si="22"/>
        <v>0</v>
      </c>
    </row>
    <row r="12">
      <c r="A12" s="12"/>
      <c r="B12" s="25"/>
      <c r="C12" s="25"/>
      <c r="D12" s="28" t="s">
        <v>59</v>
      </c>
      <c r="E12" s="24" t="s">
        <v>57</v>
      </c>
      <c r="F12" s="17" t="s">
        <v>50</v>
      </c>
      <c r="G12" s="16">
        <v>4.0</v>
      </c>
      <c r="H12" s="20"/>
      <c r="I12" s="20">
        <f t="shared" si="1"/>
        <v>4</v>
      </c>
      <c r="J12" s="21"/>
      <c r="K12" s="20"/>
      <c r="L12" s="20">
        <f t="shared" si="2"/>
        <v>4</v>
      </c>
      <c r="M12" s="21"/>
      <c r="N12" s="20"/>
      <c r="O12" s="20">
        <f t="shared" si="3"/>
        <v>4</v>
      </c>
      <c r="P12" s="21"/>
      <c r="Q12" s="20"/>
      <c r="R12" s="20">
        <f t="shared" si="4"/>
        <v>4</v>
      </c>
      <c r="S12" s="21"/>
      <c r="T12" s="20"/>
      <c r="U12" s="20">
        <f t="shared" si="5"/>
        <v>4</v>
      </c>
      <c r="V12" s="21"/>
      <c r="W12" s="20"/>
      <c r="X12" s="20">
        <f t="shared" si="6"/>
        <v>4</v>
      </c>
      <c r="Y12" s="21"/>
      <c r="Z12" s="19">
        <v>1.0</v>
      </c>
      <c r="AA12" s="20">
        <f t="shared" si="7"/>
        <v>3</v>
      </c>
      <c r="AB12" s="21"/>
      <c r="AC12" s="19">
        <v>3.0</v>
      </c>
      <c r="AD12" s="20">
        <f t="shared" si="8"/>
        <v>0</v>
      </c>
      <c r="AE12" s="21"/>
      <c r="AF12" s="20"/>
      <c r="AG12" s="20">
        <f t="shared" si="9"/>
        <v>0</v>
      </c>
      <c r="AH12" s="21"/>
      <c r="AI12" s="20"/>
      <c r="AJ12" s="20">
        <f t="shared" si="10"/>
        <v>0</v>
      </c>
      <c r="AK12" s="21"/>
      <c r="AL12" s="20"/>
      <c r="AM12" s="20">
        <f t="shared" si="11"/>
        <v>0</v>
      </c>
      <c r="AN12" s="21"/>
      <c r="AO12" s="20"/>
      <c r="AP12" s="20">
        <f t="shared" si="12"/>
        <v>0</v>
      </c>
      <c r="AQ12" s="21"/>
      <c r="AR12" s="20"/>
      <c r="AS12" s="20">
        <f t="shared" si="13"/>
        <v>0</v>
      </c>
      <c r="AT12" s="21"/>
      <c r="AU12" s="20"/>
      <c r="AV12" s="20">
        <f t="shared" si="14"/>
        <v>0</v>
      </c>
      <c r="AW12" s="21"/>
      <c r="AX12" s="20"/>
      <c r="AY12" s="20">
        <f t="shared" si="15"/>
        <v>0</v>
      </c>
      <c r="AZ12" s="21"/>
      <c r="BA12" s="20"/>
      <c r="BB12" s="20">
        <f t="shared" si="16"/>
        <v>0</v>
      </c>
      <c r="BC12" s="21"/>
      <c r="BD12" s="20"/>
      <c r="BE12" s="20">
        <f t="shared" si="17"/>
        <v>0</v>
      </c>
      <c r="BF12" s="21"/>
      <c r="BG12" s="20"/>
      <c r="BH12" s="20">
        <f t="shared" si="18"/>
        <v>0</v>
      </c>
      <c r="BI12" s="21"/>
      <c r="BJ12" s="20"/>
      <c r="BK12" s="20">
        <f t="shared" si="19"/>
        <v>0</v>
      </c>
      <c r="BL12" s="21"/>
      <c r="BM12" s="20"/>
      <c r="BN12" s="20">
        <f t="shared" si="20"/>
        <v>0</v>
      </c>
      <c r="BO12" s="21"/>
      <c r="BP12" s="22">
        <f t="shared" si="21"/>
        <v>4</v>
      </c>
      <c r="BQ12" s="22">
        <f t="shared" si="22"/>
        <v>0</v>
      </c>
    </row>
    <row r="13" ht="45.75" customHeight="1">
      <c r="A13" s="12"/>
      <c r="B13" s="13" t="s">
        <v>60</v>
      </c>
      <c r="C13" s="14" t="s">
        <v>61</v>
      </c>
      <c r="D13" s="29" t="s">
        <v>62</v>
      </c>
      <c r="E13" s="30" t="s">
        <v>49</v>
      </c>
      <c r="F13" s="17" t="s">
        <v>50</v>
      </c>
      <c r="G13" s="16">
        <v>6.0</v>
      </c>
      <c r="H13" s="20"/>
      <c r="I13" s="20">
        <f t="shared" si="1"/>
        <v>6</v>
      </c>
      <c r="J13" s="21"/>
      <c r="K13" s="20"/>
      <c r="L13" s="20">
        <f t="shared" si="2"/>
        <v>6</v>
      </c>
      <c r="M13" s="21"/>
      <c r="N13" s="20"/>
      <c r="O13" s="20">
        <f t="shared" si="3"/>
        <v>6</v>
      </c>
      <c r="P13" s="21"/>
      <c r="Q13" s="20"/>
      <c r="R13" s="20">
        <f t="shared" si="4"/>
        <v>6</v>
      </c>
      <c r="S13" s="21"/>
      <c r="T13" s="20"/>
      <c r="U13" s="20">
        <f t="shared" si="5"/>
        <v>6</v>
      </c>
      <c r="V13" s="21"/>
      <c r="W13" s="20"/>
      <c r="X13" s="20">
        <f t="shared" si="6"/>
        <v>6</v>
      </c>
      <c r="Y13" s="21"/>
      <c r="Z13" s="20"/>
      <c r="AA13" s="20">
        <f t="shared" si="7"/>
        <v>6</v>
      </c>
      <c r="AB13" s="21"/>
      <c r="AC13" s="19">
        <v>2.0</v>
      </c>
      <c r="AD13" s="20">
        <f t="shared" si="8"/>
        <v>4</v>
      </c>
      <c r="AE13" s="21"/>
      <c r="AF13" s="19">
        <v>4.0</v>
      </c>
      <c r="AG13" s="20">
        <f t="shared" si="9"/>
        <v>0</v>
      </c>
      <c r="AH13" s="21"/>
      <c r="AI13" s="20"/>
      <c r="AJ13" s="20">
        <f t="shared" si="10"/>
        <v>0</v>
      </c>
      <c r="AK13" s="21"/>
      <c r="AL13" s="20"/>
      <c r="AM13" s="20">
        <f t="shared" si="11"/>
        <v>0</v>
      </c>
      <c r="AN13" s="21"/>
      <c r="AO13" s="20"/>
      <c r="AP13" s="20">
        <f t="shared" si="12"/>
        <v>0</v>
      </c>
      <c r="AQ13" s="21"/>
      <c r="AR13" s="20"/>
      <c r="AS13" s="20">
        <f t="shared" si="13"/>
        <v>0</v>
      </c>
      <c r="AT13" s="21"/>
      <c r="AU13" s="20"/>
      <c r="AV13" s="20">
        <f t="shared" si="14"/>
        <v>0</v>
      </c>
      <c r="AW13" s="21"/>
      <c r="AX13" s="20"/>
      <c r="AY13" s="20">
        <f t="shared" si="15"/>
        <v>0</v>
      </c>
      <c r="AZ13" s="21"/>
      <c r="BA13" s="20"/>
      <c r="BB13" s="20">
        <f t="shared" si="16"/>
        <v>0</v>
      </c>
      <c r="BC13" s="21"/>
      <c r="BD13" s="20"/>
      <c r="BE13" s="20">
        <f t="shared" si="17"/>
        <v>0</v>
      </c>
      <c r="BF13" s="21"/>
      <c r="BG13" s="20"/>
      <c r="BH13" s="20">
        <f t="shared" si="18"/>
        <v>0</v>
      </c>
      <c r="BI13" s="21"/>
      <c r="BJ13" s="20"/>
      <c r="BK13" s="20">
        <f t="shared" si="19"/>
        <v>0</v>
      </c>
      <c r="BL13" s="21"/>
      <c r="BM13" s="20"/>
      <c r="BN13" s="20">
        <f t="shared" si="20"/>
        <v>0</v>
      </c>
      <c r="BO13" s="21"/>
      <c r="BP13" s="22">
        <f t="shared" si="21"/>
        <v>6</v>
      </c>
      <c r="BQ13" s="22">
        <f t="shared" si="22"/>
        <v>0</v>
      </c>
    </row>
    <row r="14" ht="45.75" customHeight="1">
      <c r="A14" s="12"/>
      <c r="B14" s="23"/>
      <c r="C14" s="23"/>
      <c r="D14" s="15" t="s">
        <v>63</v>
      </c>
      <c r="E14" s="30" t="s">
        <v>49</v>
      </c>
      <c r="F14" s="17" t="s">
        <v>50</v>
      </c>
      <c r="G14" s="16">
        <v>5.0</v>
      </c>
      <c r="H14" s="20"/>
      <c r="I14" s="20">
        <f t="shared" si="1"/>
        <v>5</v>
      </c>
      <c r="J14" s="21"/>
      <c r="K14" s="20"/>
      <c r="L14" s="20">
        <f t="shared" si="2"/>
        <v>5</v>
      </c>
      <c r="M14" s="21"/>
      <c r="N14" s="20"/>
      <c r="O14" s="20">
        <f t="shared" si="3"/>
        <v>5</v>
      </c>
      <c r="P14" s="21"/>
      <c r="Q14" s="20"/>
      <c r="R14" s="20">
        <f t="shared" si="4"/>
        <v>5</v>
      </c>
      <c r="S14" s="21"/>
      <c r="T14" s="20"/>
      <c r="U14" s="20">
        <f t="shared" si="5"/>
        <v>5</v>
      </c>
      <c r="V14" s="21"/>
      <c r="W14" s="20"/>
      <c r="X14" s="20">
        <f t="shared" si="6"/>
        <v>5</v>
      </c>
      <c r="Y14" s="21"/>
      <c r="Z14" s="20"/>
      <c r="AA14" s="20">
        <f t="shared" si="7"/>
        <v>5</v>
      </c>
      <c r="AB14" s="21"/>
      <c r="AC14" s="20"/>
      <c r="AD14" s="20">
        <f t="shared" si="8"/>
        <v>5</v>
      </c>
      <c r="AE14" s="21"/>
      <c r="AF14" s="19"/>
      <c r="AG14" s="20">
        <f t="shared" si="9"/>
        <v>5</v>
      </c>
      <c r="AH14" s="21"/>
      <c r="AI14" s="19">
        <v>3.0</v>
      </c>
      <c r="AJ14" s="20">
        <f t="shared" si="10"/>
        <v>2</v>
      </c>
      <c r="AK14" s="21"/>
      <c r="AL14" s="19">
        <v>2.0</v>
      </c>
      <c r="AM14" s="20">
        <f t="shared" si="11"/>
        <v>0</v>
      </c>
      <c r="AN14" s="21"/>
      <c r="AO14" s="20"/>
      <c r="AP14" s="20">
        <f t="shared" si="12"/>
        <v>0</v>
      </c>
      <c r="AQ14" s="21"/>
      <c r="AR14" s="20"/>
      <c r="AS14" s="20">
        <f t="shared" si="13"/>
        <v>0</v>
      </c>
      <c r="AT14" s="21"/>
      <c r="AU14" s="20"/>
      <c r="AV14" s="20">
        <f t="shared" si="14"/>
        <v>0</v>
      </c>
      <c r="AW14" s="21"/>
      <c r="AX14" s="20"/>
      <c r="AY14" s="20">
        <f t="shared" si="15"/>
        <v>0</v>
      </c>
      <c r="AZ14" s="21"/>
      <c r="BA14" s="20"/>
      <c r="BB14" s="20">
        <f t="shared" si="16"/>
        <v>0</v>
      </c>
      <c r="BC14" s="21"/>
      <c r="BD14" s="20"/>
      <c r="BE14" s="20">
        <f t="shared" si="17"/>
        <v>0</v>
      </c>
      <c r="BF14" s="21"/>
      <c r="BG14" s="20"/>
      <c r="BH14" s="20">
        <f t="shared" si="18"/>
        <v>0</v>
      </c>
      <c r="BI14" s="21"/>
      <c r="BJ14" s="20"/>
      <c r="BK14" s="20">
        <f t="shared" si="19"/>
        <v>0</v>
      </c>
      <c r="BL14" s="21"/>
      <c r="BM14" s="20"/>
      <c r="BN14" s="20">
        <f t="shared" si="20"/>
        <v>0</v>
      </c>
      <c r="BO14" s="21"/>
      <c r="BP14" s="22">
        <f t="shared" si="21"/>
        <v>5</v>
      </c>
      <c r="BQ14" s="22">
        <f t="shared" si="22"/>
        <v>0</v>
      </c>
    </row>
    <row r="15" ht="45.75" customHeight="1">
      <c r="A15" s="12"/>
      <c r="B15" s="25"/>
      <c r="C15" s="25"/>
      <c r="D15" s="15" t="s">
        <v>64</v>
      </c>
      <c r="E15" s="30" t="s">
        <v>57</v>
      </c>
      <c r="F15" s="17" t="s">
        <v>50</v>
      </c>
      <c r="G15" s="16">
        <v>5.0</v>
      </c>
      <c r="H15" s="20"/>
      <c r="I15" s="20">
        <f t="shared" si="1"/>
        <v>5</v>
      </c>
      <c r="J15" s="21"/>
      <c r="K15" s="20"/>
      <c r="L15" s="20">
        <f t="shared" si="2"/>
        <v>5</v>
      </c>
      <c r="M15" s="21"/>
      <c r="N15" s="20"/>
      <c r="O15" s="20">
        <f t="shared" si="3"/>
        <v>5</v>
      </c>
      <c r="P15" s="21"/>
      <c r="Q15" s="20"/>
      <c r="R15" s="20">
        <f t="shared" si="4"/>
        <v>5</v>
      </c>
      <c r="S15" s="21"/>
      <c r="T15" s="20"/>
      <c r="U15" s="20">
        <f t="shared" si="5"/>
        <v>5</v>
      </c>
      <c r="V15" s="21"/>
      <c r="W15" s="20"/>
      <c r="X15" s="20">
        <f t="shared" si="6"/>
        <v>5</v>
      </c>
      <c r="Y15" s="21"/>
      <c r="Z15" s="20"/>
      <c r="AA15" s="20">
        <f t="shared" si="7"/>
        <v>5</v>
      </c>
      <c r="AB15" s="21"/>
      <c r="AC15" s="20"/>
      <c r="AD15" s="20">
        <f t="shared" si="8"/>
        <v>5</v>
      </c>
      <c r="AE15" s="21"/>
      <c r="AF15" s="20"/>
      <c r="AG15" s="20">
        <f t="shared" si="9"/>
        <v>5</v>
      </c>
      <c r="AH15" s="21"/>
      <c r="AI15" s="20"/>
      <c r="AJ15" s="20">
        <f t="shared" si="10"/>
        <v>5</v>
      </c>
      <c r="AK15" s="21"/>
      <c r="AL15" s="19">
        <v>2.0</v>
      </c>
      <c r="AM15" s="20">
        <f t="shared" si="11"/>
        <v>3</v>
      </c>
      <c r="AN15" s="21"/>
      <c r="AO15" s="19">
        <v>3.0</v>
      </c>
      <c r="AP15" s="20">
        <f t="shared" si="12"/>
        <v>0</v>
      </c>
      <c r="AQ15" s="21"/>
      <c r="AR15" s="20"/>
      <c r="AS15" s="20">
        <f t="shared" si="13"/>
        <v>0</v>
      </c>
      <c r="AT15" s="21"/>
      <c r="AU15" s="20"/>
      <c r="AV15" s="20">
        <f t="shared" si="14"/>
        <v>0</v>
      </c>
      <c r="AW15" s="21"/>
      <c r="AX15" s="20"/>
      <c r="AY15" s="20">
        <f t="shared" si="15"/>
        <v>0</v>
      </c>
      <c r="AZ15" s="21"/>
      <c r="BA15" s="20"/>
      <c r="BB15" s="20">
        <f t="shared" si="16"/>
        <v>0</v>
      </c>
      <c r="BC15" s="21"/>
      <c r="BD15" s="20"/>
      <c r="BE15" s="20">
        <f t="shared" si="17"/>
        <v>0</v>
      </c>
      <c r="BF15" s="21"/>
      <c r="BG15" s="20"/>
      <c r="BH15" s="20">
        <f t="shared" si="18"/>
        <v>0</v>
      </c>
      <c r="BI15" s="21"/>
      <c r="BJ15" s="20"/>
      <c r="BK15" s="20">
        <f t="shared" si="19"/>
        <v>0</v>
      </c>
      <c r="BL15" s="21"/>
      <c r="BM15" s="20"/>
      <c r="BN15" s="20">
        <f t="shared" si="20"/>
        <v>0</v>
      </c>
      <c r="BO15" s="21"/>
      <c r="BP15" s="22">
        <f t="shared" si="21"/>
        <v>5</v>
      </c>
      <c r="BQ15" s="22">
        <f t="shared" si="22"/>
        <v>0</v>
      </c>
    </row>
    <row r="16" ht="75.75" customHeight="1">
      <c r="A16" s="1"/>
      <c r="B16" s="31"/>
      <c r="C16" s="31"/>
      <c r="D16" s="32"/>
      <c r="E16" s="33"/>
      <c r="F16" s="34"/>
      <c r="G16" s="5"/>
      <c r="H16" s="20"/>
      <c r="I16" s="20">
        <f t="shared" si="1"/>
        <v>0</v>
      </c>
      <c r="J16" s="21"/>
      <c r="K16" s="20"/>
      <c r="L16" s="20">
        <f t="shared" si="2"/>
        <v>0</v>
      </c>
      <c r="M16" s="21"/>
      <c r="N16" s="20"/>
      <c r="O16" s="20">
        <f t="shared" si="3"/>
        <v>0</v>
      </c>
      <c r="P16" s="21"/>
      <c r="Q16" s="20"/>
      <c r="R16" s="20">
        <f t="shared" si="4"/>
        <v>0</v>
      </c>
      <c r="S16" s="21"/>
      <c r="T16" s="20"/>
      <c r="U16" s="20">
        <f t="shared" si="5"/>
        <v>0</v>
      </c>
      <c r="V16" s="21"/>
      <c r="W16" s="20"/>
      <c r="X16" s="20">
        <f t="shared" si="6"/>
        <v>0</v>
      </c>
      <c r="Y16" s="21"/>
      <c r="Z16" s="20"/>
      <c r="AA16" s="20">
        <f t="shared" si="7"/>
        <v>0</v>
      </c>
      <c r="AB16" s="21"/>
      <c r="AC16" s="20"/>
      <c r="AD16" s="20">
        <f t="shared" si="8"/>
        <v>0</v>
      </c>
      <c r="AE16" s="21"/>
      <c r="AF16" s="20"/>
      <c r="AG16" s="20">
        <f t="shared" si="9"/>
        <v>0</v>
      </c>
      <c r="AH16" s="21"/>
      <c r="AI16" s="20"/>
      <c r="AJ16" s="20">
        <f t="shared" si="10"/>
        <v>0</v>
      </c>
      <c r="AK16" s="21"/>
      <c r="AL16" s="20"/>
      <c r="AM16" s="20">
        <f t="shared" si="11"/>
        <v>0</v>
      </c>
      <c r="AN16" s="21"/>
      <c r="AO16" s="20"/>
      <c r="AP16" s="20">
        <f t="shared" si="12"/>
        <v>0</v>
      </c>
      <c r="AQ16" s="21"/>
      <c r="AR16" s="20"/>
      <c r="AS16" s="20">
        <f t="shared" si="13"/>
        <v>0</v>
      </c>
      <c r="AT16" s="21"/>
      <c r="AU16" s="20"/>
      <c r="AV16" s="20">
        <f t="shared" si="14"/>
        <v>0</v>
      </c>
      <c r="AW16" s="21"/>
      <c r="AX16" s="20"/>
      <c r="AY16" s="20">
        <f t="shared" si="15"/>
        <v>0</v>
      </c>
      <c r="AZ16" s="21"/>
      <c r="BA16" s="20"/>
      <c r="BB16" s="20">
        <f t="shared" si="16"/>
        <v>0</v>
      </c>
      <c r="BC16" s="21"/>
      <c r="BD16" s="20"/>
      <c r="BE16" s="20">
        <f t="shared" si="17"/>
        <v>0</v>
      </c>
      <c r="BF16" s="21"/>
      <c r="BG16" s="20"/>
      <c r="BH16" s="20">
        <f t="shared" si="18"/>
        <v>0</v>
      </c>
      <c r="BI16" s="21"/>
      <c r="BJ16" s="20"/>
      <c r="BK16" s="20">
        <f t="shared" si="19"/>
        <v>0</v>
      </c>
      <c r="BL16" s="21"/>
      <c r="BM16" s="20"/>
      <c r="BN16" s="20">
        <f t="shared" si="20"/>
        <v>0</v>
      </c>
      <c r="BO16" s="21"/>
      <c r="BP16" s="22">
        <f t="shared" si="21"/>
        <v>0</v>
      </c>
      <c r="BQ16" s="22">
        <f t="shared" si="22"/>
        <v>0</v>
      </c>
    </row>
    <row r="17" ht="45.75" customHeight="1">
      <c r="A17" s="1"/>
      <c r="B17" s="23"/>
      <c r="C17" s="23"/>
      <c r="D17" s="32"/>
      <c r="E17" s="33"/>
      <c r="F17" s="34"/>
      <c r="G17" s="5"/>
      <c r="H17" s="20"/>
      <c r="I17" s="20">
        <f t="shared" si="1"/>
        <v>0</v>
      </c>
      <c r="J17" s="21"/>
      <c r="K17" s="20"/>
      <c r="L17" s="20">
        <f t="shared" si="2"/>
        <v>0</v>
      </c>
      <c r="M17" s="21"/>
      <c r="N17" s="20"/>
      <c r="O17" s="20">
        <f t="shared" si="3"/>
        <v>0</v>
      </c>
      <c r="P17" s="21"/>
      <c r="Q17" s="20"/>
      <c r="R17" s="20">
        <f t="shared" si="4"/>
        <v>0</v>
      </c>
      <c r="S17" s="21"/>
      <c r="T17" s="20"/>
      <c r="U17" s="20">
        <f t="shared" si="5"/>
        <v>0</v>
      </c>
      <c r="V17" s="21"/>
      <c r="W17" s="20"/>
      <c r="X17" s="20">
        <f t="shared" si="6"/>
        <v>0</v>
      </c>
      <c r="Y17" s="21"/>
      <c r="Z17" s="20"/>
      <c r="AA17" s="20">
        <f t="shared" si="7"/>
        <v>0</v>
      </c>
      <c r="AB17" s="21"/>
      <c r="AC17" s="20"/>
      <c r="AD17" s="20">
        <f t="shared" si="8"/>
        <v>0</v>
      </c>
      <c r="AE17" s="21"/>
      <c r="AF17" s="20"/>
      <c r="AG17" s="20">
        <f t="shared" si="9"/>
        <v>0</v>
      </c>
      <c r="AH17" s="21"/>
      <c r="AI17" s="20"/>
      <c r="AJ17" s="20">
        <f t="shared" si="10"/>
        <v>0</v>
      </c>
      <c r="AK17" s="21"/>
      <c r="AL17" s="20"/>
      <c r="AM17" s="20">
        <f t="shared" si="11"/>
        <v>0</v>
      </c>
      <c r="AN17" s="21"/>
      <c r="AO17" s="20"/>
      <c r="AP17" s="20">
        <f t="shared" si="12"/>
        <v>0</v>
      </c>
      <c r="AQ17" s="21"/>
      <c r="AR17" s="20"/>
      <c r="AS17" s="20">
        <f t="shared" si="13"/>
        <v>0</v>
      </c>
      <c r="AT17" s="21"/>
      <c r="AU17" s="20"/>
      <c r="AV17" s="20">
        <f t="shared" si="14"/>
        <v>0</v>
      </c>
      <c r="AW17" s="21"/>
      <c r="AX17" s="20"/>
      <c r="AY17" s="20">
        <f t="shared" si="15"/>
        <v>0</v>
      </c>
      <c r="AZ17" s="21"/>
      <c r="BA17" s="20"/>
      <c r="BB17" s="20">
        <f t="shared" si="16"/>
        <v>0</v>
      </c>
      <c r="BC17" s="21"/>
      <c r="BD17" s="20"/>
      <c r="BE17" s="20">
        <f t="shared" si="17"/>
        <v>0</v>
      </c>
      <c r="BF17" s="21"/>
      <c r="BG17" s="20"/>
      <c r="BH17" s="20">
        <f t="shared" si="18"/>
        <v>0</v>
      </c>
      <c r="BI17" s="21"/>
      <c r="BJ17" s="20"/>
      <c r="BK17" s="20">
        <f t="shared" si="19"/>
        <v>0</v>
      </c>
      <c r="BL17" s="21"/>
      <c r="BM17" s="20"/>
      <c r="BN17" s="20">
        <f t="shared" si="20"/>
        <v>0</v>
      </c>
      <c r="BO17" s="21"/>
      <c r="BP17" s="22">
        <f t="shared" si="21"/>
        <v>0</v>
      </c>
      <c r="BQ17" s="22">
        <f t="shared" si="22"/>
        <v>0</v>
      </c>
    </row>
    <row r="18" ht="45.75" customHeight="1">
      <c r="A18" s="1"/>
      <c r="B18" s="23"/>
      <c r="C18" s="23"/>
      <c r="D18" s="32"/>
      <c r="E18" s="33"/>
      <c r="F18" s="34"/>
      <c r="G18" s="5"/>
      <c r="H18" s="20"/>
      <c r="I18" s="20">
        <f t="shared" si="1"/>
        <v>0</v>
      </c>
      <c r="J18" s="21"/>
      <c r="K18" s="20"/>
      <c r="L18" s="20">
        <f t="shared" si="2"/>
        <v>0</v>
      </c>
      <c r="M18" s="21"/>
      <c r="N18" s="20"/>
      <c r="O18" s="20">
        <f t="shared" si="3"/>
        <v>0</v>
      </c>
      <c r="P18" s="21"/>
      <c r="Q18" s="20"/>
      <c r="R18" s="20">
        <f t="shared" si="4"/>
        <v>0</v>
      </c>
      <c r="S18" s="21"/>
      <c r="T18" s="20"/>
      <c r="U18" s="20">
        <f t="shared" si="5"/>
        <v>0</v>
      </c>
      <c r="V18" s="21"/>
      <c r="W18" s="20"/>
      <c r="X18" s="20">
        <f t="shared" si="6"/>
        <v>0</v>
      </c>
      <c r="Y18" s="21"/>
      <c r="Z18" s="20"/>
      <c r="AA18" s="20">
        <f t="shared" si="7"/>
        <v>0</v>
      </c>
      <c r="AB18" s="21"/>
      <c r="AC18" s="20"/>
      <c r="AD18" s="20">
        <f t="shared" si="8"/>
        <v>0</v>
      </c>
      <c r="AE18" s="21"/>
      <c r="AF18" s="20"/>
      <c r="AG18" s="20">
        <f t="shared" si="9"/>
        <v>0</v>
      </c>
      <c r="AH18" s="21"/>
      <c r="AI18" s="20"/>
      <c r="AJ18" s="20">
        <f t="shared" si="10"/>
        <v>0</v>
      </c>
      <c r="AK18" s="21"/>
      <c r="AL18" s="20"/>
      <c r="AM18" s="20">
        <f t="shared" si="11"/>
        <v>0</v>
      </c>
      <c r="AN18" s="21"/>
      <c r="AO18" s="20"/>
      <c r="AP18" s="20">
        <f t="shared" si="12"/>
        <v>0</v>
      </c>
      <c r="AQ18" s="21"/>
      <c r="AR18" s="20"/>
      <c r="AS18" s="20">
        <f t="shared" si="13"/>
        <v>0</v>
      </c>
      <c r="AT18" s="21"/>
      <c r="AU18" s="20"/>
      <c r="AV18" s="20">
        <f t="shared" si="14"/>
        <v>0</v>
      </c>
      <c r="AW18" s="21"/>
      <c r="AX18" s="20"/>
      <c r="AY18" s="20">
        <f t="shared" si="15"/>
        <v>0</v>
      </c>
      <c r="AZ18" s="21"/>
      <c r="BA18" s="20"/>
      <c r="BB18" s="20">
        <f t="shared" si="16"/>
        <v>0</v>
      </c>
      <c r="BC18" s="21"/>
      <c r="BD18" s="20"/>
      <c r="BE18" s="20">
        <f t="shared" si="17"/>
        <v>0</v>
      </c>
      <c r="BF18" s="21"/>
      <c r="BG18" s="20"/>
      <c r="BH18" s="20">
        <f t="shared" si="18"/>
        <v>0</v>
      </c>
      <c r="BI18" s="21"/>
      <c r="BJ18" s="20"/>
      <c r="BK18" s="20">
        <f t="shared" si="19"/>
        <v>0</v>
      </c>
      <c r="BL18" s="21"/>
      <c r="BM18" s="20"/>
      <c r="BN18" s="20">
        <f t="shared" si="20"/>
        <v>0</v>
      </c>
      <c r="BO18" s="21"/>
      <c r="BP18" s="22">
        <f t="shared" si="21"/>
        <v>0</v>
      </c>
      <c r="BQ18" s="22">
        <f t="shared" si="22"/>
        <v>0</v>
      </c>
    </row>
    <row r="19" ht="60.75" customHeight="1">
      <c r="A19" s="1"/>
      <c r="B19" s="25"/>
      <c r="C19" s="25"/>
      <c r="D19" s="32"/>
      <c r="E19" s="33"/>
      <c r="F19" s="34"/>
      <c r="G19" s="5"/>
      <c r="H19" s="20"/>
      <c r="I19" s="20">
        <f t="shared" si="1"/>
        <v>0</v>
      </c>
      <c r="J19" s="21"/>
      <c r="K19" s="20"/>
      <c r="L19" s="20">
        <f t="shared" si="2"/>
        <v>0</v>
      </c>
      <c r="M19" s="21"/>
      <c r="N19" s="20"/>
      <c r="O19" s="20">
        <f t="shared" si="3"/>
        <v>0</v>
      </c>
      <c r="P19" s="21"/>
      <c r="Q19" s="20"/>
      <c r="R19" s="20">
        <f t="shared" si="4"/>
        <v>0</v>
      </c>
      <c r="S19" s="21"/>
      <c r="T19" s="20"/>
      <c r="U19" s="20">
        <f t="shared" si="5"/>
        <v>0</v>
      </c>
      <c r="V19" s="21"/>
      <c r="W19" s="20"/>
      <c r="X19" s="20">
        <f t="shared" si="6"/>
        <v>0</v>
      </c>
      <c r="Y19" s="21"/>
      <c r="Z19" s="20"/>
      <c r="AA19" s="20">
        <f t="shared" si="7"/>
        <v>0</v>
      </c>
      <c r="AB19" s="21"/>
      <c r="AC19" s="20"/>
      <c r="AD19" s="20">
        <f t="shared" si="8"/>
        <v>0</v>
      </c>
      <c r="AE19" s="21"/>
      <c r="AF19" s="20"/>
      <c r="AG19" s="20">
        <f t="shared" si="9"/>
        <v>0</v>
      </c>
      <c r="AH19" s="21"/>
      <c r="AI19" s="20"/>
      <c r="AJ19" s="20">
        <f t="shared" si="10"/>
        <v>0</v>
      </c>
      <c r="AK19" s="21"/>
      <c r="AL19" s="20"/>
      <c r="AM19" s="20">
        <f t="shared" si="11"/>
        <v>0</v>
      </c>
      <c r="AN19" s="21"/>
      <c r="AO19" s="20"/>
      <c r="AP19" s="20">
        <f t="shared" si="12"/>
        <v>0</v>
      </c>
      <c r="AQ19" s="21"/>
      <c r="AR19" s="20"/>
      <c r="AS19" s="20">
        <f t="shared" si="13"/>
        <v>0</v>
      </c>
      <c r="AT19" s="21"/>
      <c r="AU19" s="20"/>
      <c r="AV19" s="20">
        <f t="shared" si="14"/>
        <v>0</v>
      </c>
      <c r="AW19" s="21"/>
      <c r="AX19" s="20"/>
      <c r="AY19" s="20">
        <f t="shared" si="15"/>
        <v>0</v>
      </c>
      <c r="AZ19" s="21"/>
      <c r="BA19" s="20"/>
      <c r="BB19" s="20">
        <f t="shared" si="16"/>
        <v>0</v>
      </c>
      <c r="BC19" s="21"/>
      <c r="BD19" s="20"/>
      <c r="BE19" s="20">
        <f t="shared" si="17"/>
        <v>0</v>
      </c>
      <c r="BF19" s="21"/>
      <c r="BG19" s="20"/>
      <c r="BH19" s="20">
        <f t="shared" si="18"/>
        <v>0</v>
      </c>
      <c r="BI19" s="21"/>
      <c r="BJ19" s="20"/>
      <c r="BK19" s="20">
        <f t="shared" si="19"/>
        <v>0</v>
      </c>
      <c r="BL19" s="21"/>
      <c r="BM19" s="20"/>
      <c r="BN19" s="20">
        <f t="shared" si="20"/>
        <v>0</v>
      </c>
      <c r="BO19" s="21"/>
      <c r="BP19" s="22">
        <f t="shared" si="21"/>
        <v>0</v>
      </c>
      <c r="BQ19" s="22">
        <f t="shared" si="22"/>
        <v>0</v>
      </c>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sheetData>
  <mergeCells count="29">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 ref="B6:B9"/>
    <mergeCell ref="C6:C9"/>
    <mergeCell ref="B16:B19"/>
    <mergeCell ref="C16:C19"/>
    <mergeCell ref="B10:B12"/>
    <mergeCell ref="C10:C12"/>
    <mergeCell ref="C13:C15"/>
    <mergeCell ref="B13:B15"/>
    <mergeCell ref="H4:I4"/>
    <mergeCell ref="K4:L4"/>
    <mergeCell ref="N4:O4"/>
    <mergeCell ref="Q4:R4"/>
    <mergeCell ref="T4:U4"/>
    <mergeCell ref="W4:X4"/>
    <mergeCell ref="Z4:AA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24.25"/>
    <col customWidth="1" min="3" max="3" width="75.25"/>
    <col customWidth="1" min="4" max="4" width="2.5"/>
    <col customWidth="1" min="5" max="6" width="10.0"/>
    <col customWidth="1" min="7" max="26" width="9.38"/>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3</v>
      </c>
      <c r="C4" s="4" t="s">
        <v>4</v>
      </c>
      <c r="D4" s="1"/>
      <c r="E4" s="1"/>
      <c r="F4" s="1"/>
      <c r="G4" s="1"/>
      <c r="H4" s="1"/>
      <c r="I4" s="1"/>
      <c r="J4" s="1"/>
      <c r="K4" s="1"/>
      <c r="L4" s="1"/>
      <c r="M4" s="1"/>
      <c r="N4" s="1"/>
      <c r="O4" s="1"/>
      <c r="P4" s="1"/>
      <c r="Q4" s="1"/>
      <c r="R4" s="1"/>
      <c r="S4" s="1"/>
      <c r="T4" s="1"/>
      <c r="U4" s="1"/>
      <c r="V4" s="1"/>
      <c r="W4" s="1"/>
      <c r="X4" s="1"/>
      <c r="Y4" s="1"/>
      <c r="Z4" s="1"/>
    </row>
    <row r="5">
      <c r="A5" s="1"/>
      <c r="B5" s="5" t="str">
        <f t="shared" ref="B5:B6" si="1">#REF!</f>
        <v>#REF!</v>
      </c>
      <c r="C5" s="5" t="s">
        <v>6</v>
      </c>
      <c r="D5" s="1"/>
      <c r="E5" s="1"/>
      <c r="F5" s="1"/>
      <c r="G5" s="1"/>
      <c r="H5" s="1"/>
      <c r="I5" s="1"/>
      <c r="J5" s="1"/>
      <c r="K5" s="1"/>
      <c r="L5" s="1"/>
      <c r="M5" s="1"/>
      <c r="N5" s="1"/>
      <c r="O5" s="1"/>
      <c r="P5" s="1"/>
      <c r="Q5" s="1"/>
      <c r="R5" s="1"/>
      <c r="S5" s="1"/>
      <c r="T5" s="1"/>
      <c r="U5" s="1"/>
      <c r="V5" s="1"/>
      <c r="W5" s="1"/>
      <c r="X5" s="1"/>
      <c r="Y5" s="1"/>
      <c r="Z5" s="1"/>
    </row>
    <row r="6">
      <c r="A6" s="1"/>
      <c r="B6" s="5" t="str">
        <f t="shared" si="1"/>
        <v>#REF!</v>
      </c>
      <c r="C6" s="5" t="s">
        <v>7</v>
      </c>
      <c r="D6" s="1"/>
      <c r="E6" s="1"/>
      <c r="F6" s="1"/>
      <c r="G6" s="1"/>
      <c r="H6" s="1"/>
      <c r="I6" s="1"/>
      <c r="J6" s="1"/>
      <c r="K6" s="1"/>
      <c r="L6" s="1"/>
      <c r="M6" s="1"/>
      <c r="N6" s="1"/>
      <c r="O6" s="1"/>
      <c r="P6" s="1"/>
      <c r="Q6" s="1"/>
      <c r="R6" s="1"/>
      <c r="S6" s="1"/>
      <c r="T6" s="1"/>
      <c r="U6" s="1"/>
      <c r="V6" s="1"/>
      <c r="W6" s="1"/>
      <c r="X6" s="1"/>
      <c r="Y6" s="1"/>
      <c r="Z6" s="1"/>
    </row>
    <row r="7">
      <c r="A7" s="1"/>
      <c r="B7" s="5" t="s">
        <v>8</v>
      </c>
      <c r="C7" s="5" t="s">
        <v>9</v>
      </c>
      <c r="D7" s="1"/>
      <c r="E7" s="1"/>
      <c r="F7" s="1"/>
      <c r="G7" s="1"/>
      <c r="H7" s="1"/>
      <c r="I7" s="1"/>
      <c r="J7" s="1"/>
      <c r="K7" s="1"/>
      <c r="L7" s="1"/>
      <c r="M7" s="1"/>
      <c r="N7" s="1"/>
      <c r="O7" s="1"/>
      <c r="P7" s="1"/>
      <c r="Q7" s="1"/>
      <c r="R7" s="1"/>
      <c r="S7" s="1"/>
      <c r="T7" s="1"/>
      <c r="U7" s="1"/>
      <c r="V7" s="1"/>
      <c r="W7" s="1"/>
      <c r="X7" s="1"/>
      <c r="Y7" s="1"/>
      <c r="Z7" s="1"/>
    </row>
    <row r="8">
      <c r="A8" s="1"/>
      <c r="B8" s="5" t="s">
        <v>10</v>
      </c>
      <c r="C8" s="5" t="s">
        <v>11</v>
      </c>
      <c r="D8" s="1"/>
      <c r="E8" s="1"/>
      <c r="F8" s="1"/>
      <c r="G8" s="1"/>
      <c r="H8" s="1"/>
      <c r="I8" s="1"/>
      <c r="J8" s="1"/>
      <c r="K8" s="1"/>
      <c r="L8" s="1"/>
      <c r="M8" s="1"/>
      <c r="N8" s="1"/>
      <c r="O8" s="1"/>
      <c r="P8" s="1"/>
      <c r="Q8" s="1"/>
      <c r="R8" s="1"/>
      <c r="S8" s="1"/>
      <c r="T8" s="1"/>
      <c r="U8" s="1"/>
      <c r="V8" s="1"/>
      <c r="W8" s="1"/>
      <c r="X8" s="1"/>
      <c r="Y8" s="1"/>
      <c r="Z8" s="1"/>
    </row>
    <row r="9">
      <c r="A9" s="1"/>
      <c r="B9" s="5" t="s">
        <v>12</v>
      </c>
      <c r="C9" s="5" t="s">
        <v>13</v>
      </c>
      <c r="D9" s="1"/>
      <c r="E9" s="1"/>
      <c r="F9" s="1"/>
      <c r="G9" s="1"/>
      <c r="H9" s="1"/>
      <c r="I9" s="1"/>
      <c r="J9" s="1"/>
      <c r="K9" s="1"/>
      <c r="L9" s="1"/>
      <c r="M9" s="1"/>
      <c r="N9" s="1"/>
      <c r="O9" s="1"/>
      <c r="P9" s="1"/>
      <c r="Q9" s="1"/>
      <c r="R9" s="1"/>
      <c r="S9" s="1"/>
      <c r="T9" s="1"/>
      <c r="U9" s="1"/>
      <c r="V9" s="1"/>
      <c r="W9" s="1"/>
      <c r="X9" s="1"/>
      <c r="Y9" s="1"/>
      <c r="Z9" s="1"/>
    </row>
    <row r="10">
      <c r="A10" s="1"/>
      <c r="B10" s="5" t="s">
        <v>14</v>
      </c>
      <c r="C10" s="5" t="s">
        <v>15</v>
      </c>
      <c r="D10" s="1"/>
      <c r="E10" s="1"/>
      <c r="F10" s="1"/>
      <c r="G10" s="1"/>
      <c r="H10" s="1"/>
      <c r="I10" s="1"/>
      <c r="J10" s="1"/>
      <c r="K10" s="1"/>
      <c r="L10" s="1"/>
      <c r="M10" s="1"/>
      <c r="N10" s="1"/>
      <c r="O10" s="1"/>
      <c r="P10" s="1"/>
      <c r="Q10" s="1"/>
      <c r="R10" s="1"/>
      <c r="S10" s="1"/>
      <c r="T10" s="1"/>
      <c r="U10" s="1"/>
      <c r="V10" s="1"/>
      <c r="W10" s="1"/>
      <c r="X10" s="1"/>
      <c r="Y10" s="1"/>
      <c r="Z10" s="1"/>
    </row>
    <row r="11">
      <c r="A11" s="1"/>
      <c r="B11" s="5" t="s">
        <v>16</v>
      </c>
      <c r="C11" s="5" t="s">
        <v>17</v>
      </c>
      <c r="D11" s="1"/>
      <c r="E11" s="1"/>
      <c r="F11" s="1"/>
      <c r="G11" s="1"/>
      <c r="H11" s="1"/>
      <c r="I11" s="1"/>
      <c r="J11" s="1"/>
      <c r="K11" s="1"/>
      <c r="L11" s="1"/>
      <c r="M11" s="1"/>
      <c r="N11" s="1"/>
      <c r="O11" s="1"/>
      <c r="P11" s="1"/>
      <c r="Q11" s="1"/>
      <c r="R11" s="1"/>
      <c r="S11" s="1"/>
      <c r="T11" s="1"/>
      <c r="U11" s="1"/>
      <c r="V11" s="1"/>
      <c r="W11" s="1"/>
      <c r="X11" s="1"/>
      <c r="Y11" s="1"/>
      <c r="Z11" s="1"/>
    </row>
    <row r="12">
      <c r="A12" s="1"/>
      <c r="B12" s="5" t="s">
        <v>18</v>
      </c>
      <c r="C12" s="5" t="s">
        <v>19</v>
      </c>
      <c r="D12" s="1"/>
      <c r="E12" s="1"/>
      <c r="F12" s="1"/>
      <c r="G12" s="1"/>
      <c r="H12" s="1"/>
      <c r="I12" s="1"/>
      <c r="J12" s="1"/>
      <c r="K12" s="1"/>
      <c r="L12" s="1"/>
      <c r="M12" s="1"/>
      <c r="N12" s="1"/>
      <c r="O12" s="1"/>
      <c r="P12" s="1"/>
      <c r="Q12" s="1"/>
      <c r="R12" s="1"/>
      <c r="S12" s="1"/>
      <c r="T12" s="1"/>
      <c r="U12" s="1"/>
      <c r="V12" s="1"/>
      <c r="W12" s="1"/>
      <c r="X12" s="1"/>
      <c r="Y12" s="1"/>
      <c r="Z12" s="1"/>
    </row>
    <row r="13">
      <c r="A13" s="1"/>
      <c r="B13" s="5" t="s">
        <v>20</v>
      </c>
      <c r="C13" s="5" t="s">
        <v>21</v>
      </c>
      <c r="D13" s="1"/>
      <c r="E13" s="1"/>
      <c r="F13" s="1"/>
      <c r="G13" s="1"/>
      <c r="H13" s="1"/>
      <c r="I13" s="1"/>
      <c r="J13" s="1"/>
      <c r="K13" s="1"/>
      <c r="L13" s="1"/>
      <c r="M13" s="1"/>
      <c r="N13" s="1"/>
      <c r="O13" s="1"/>
      <c r="P13" s="1"/>
      <c r="Q13" s="1"/>
      <c r="R13" s="1"/>
      <c r="S13" s="1"/>
      <c r="T13" s="1"/>
      <c r="U13" s="1"/>
      <c r="V13" s="1"/>
      <c r="W13" s="1"/>
      <c r="X13" s="1"/>
      <c r="Y13" s="1"/>
      <c r="Z13" s="1"/>
    </row>
    <row r="14">
      <c r="A14" s="1"/>
      <c r="B14" s="5" t="s">
        <v>22</v>
      </c>
      <c r="C14" s="5" t="s">
        <v>24</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