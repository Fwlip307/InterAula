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SCfWcV6nAM5Layi7fOIenERtqB95yF972hjPbx/fnxY="/>
    </ext>
  </extLst>
</workbook>
</file>

<file path=xl/sharedStrings.xml><?xml version="1.0" encoding="utf-8"?>
<sst xmlns="http://schemas.openxmlformats.org/spreadsheetml/2006/main" count="11" uniqueCount="11">
  <si>
    <t>Control del Sprint 1</t>
  </si>
  <si>
    <t>Historias de Usuario o Spike</t>
  </si>
  <si>
    <t>horas estimadas</t>
  </si>
  <si>
    <t>DIA</t>
  </si>
  <si>
    <t>Total</t>
  </si>
  <si>
    <t>%</t>
  </si>
  <si>
    <t>Gestión de Permisos y Roles</t>
  </si>
  <si>
    <t>Autenticación Institucional</t>
  </si>
  <si>
    <t>Configuración de Perfil Académico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</si>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</sst>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trike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4" numFmtId="0" xfId="0" applyFont="1"/>
    <xf borderId="6" fillId="2" fontId="2" numFmtId="0" xfId="0" applyAlignment="1" applyBorder="1" applyFill="1" applyFont="1">
      <alignment readingOrder="0"/>
    </xf>
    <xf borderId="6" fillId="2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5" fillId="0" fontId="2" numFmtId="0" xfId="0" applyAlignment="1" applyBorder="1" applyFont="1">
      <alignment horizontal="center" vertical="center"/>
    </xf>
    <xf borderId="8" fillId="3" fontId="2" numFmtId="0" xfId="0" applyAlignment="1" applyBorder="1" applyFill="1" applyFont="1">
      <alignment readingOrder="0"/>
    </xf>
    <xf borderId="6" fillId="3" fontId="2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9" fillId="2" fontId="2" numFmtId="0" xfId="0" applyAlignment="1" applyBorder="1" applyFill="1" applyFont="1">
      <alignment horizontal="center" readingOrder="0"/>
    </xf>
    <xf borderId="6" fillId="3" fontId="2" numFmtId="0" xfId="0" applyBorder="1" applyFill="1" applyFont="1"/>
    <xf borderId="6" fillId="3" fontId="2" numFmtId="0" xfId="0" applyAlignment="1" applyBorder="1" applyFill="1" applyFont="1">
      <alignment horizontal="center"/>
    </xf>
    <xf borderId="10" fillId="0" fontId="2" numFmtId="0" xfId="0" applyBorder="1" applyFont="1"/>
    <xf borderId="10" fillId="0" fontId="4" numFmtId="0" xfId="0" applyBorder="1" applyFont="1"/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1'!$B$12:$V$12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1'!$B$14:$V$14</c:f>
              <c:numCache/>
            </c:numRef>
          </c:val>
          <c:smooth val="0"/>
        </c:ser>
        <c:ser>
          <c:idx val="2"/>
          <c:order val="2"/>
          <c:tx>
            <c:v>Gestión de Permisos y Roles</c:v>
          </c:tx>
          <c:spPr>
            <a:ln cmpd="sng" w="38100">
              <a:solidFill>
                <a:srgbClr val="8E7CC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1'!$C$6:$V$6</c:f>
              <c:numCache/>
            </c:numRef>
          </c:val>
          <c:smooth val="0"/>
        </c:ser>
        <c:ser>
          <c:idx val="3"/>
          <c:order val="3"/>
          <c:tx>
            <c:v>Gestion de Permisos y Roles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1'!$C$5:$V$5</c:f>
              <c:numCache/>
            </c:numRef>
          </c:val>
          <c:smooth val="0"/>
        </c:ser>
        <c:ser>
          <c:idx val="4"/>
          <c:order val="4"/>
          <c:tx>
            <c:v>Configuración de Perfil Académico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1'!$C$7:$V$7</c:f>
              <c:numCache/>
            </c:numRef>
          </c:val>
          <c:smooth val="0"/>
        </c:ser>
        <c:axId val="1870004321"/>
        <c:axId val="1818888434"/>
      </c:lineChart>
      <c:catAx>
        <c:axId val="1870004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8888434"/>
      </c:catAx>
      <c:valAx>
        <c:axId val="1818888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0004321"/>
      </c:valAx>
    </c:plotArea>
    <c:legend>
      <c:legendPos val="b"/>
      <c:legendEntry>
        <c:idx val="3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layout>
        <c:manualLayout>
          <c:xMode val="edge"/>
          <c:yMode val="edge"/>
          <c:x val="0.0"/>
          <c:y val="0.80449296646907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123825</xdr:colOff>
      <xdr:row>0</xdr:row>
      <xdr:rowOff>152400</xdr:rowOff>
    </xdr:from>
    <xdr:ext cx="5753100" cy="4238625"/>
    <xdr:graphicFrame>
      <xdr:nvGraphicFramePr>
        <xdr:cNvPr id="169206415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7.0"/>
    <col customWidth="1" min="3" max="3" width="4.0"/>
    <col customWidth="1" min="4" max="22" width="3.43"/>
    <col customWidth="1" min="23" max="29" width="10.71"/>
  </cols>
  <sheetData>
    <row r="1">
      <c r="A1" s="1" t="s">
        <v>0</v>
      </c>
      <c r="B1" s="2"/>
    </row>
    <row r="3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3" t="s">
        <v>4</v>
      </c>
    </row>
    <row r="4">
      <c r="A4" s="6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9">
        <v>20.0</v>
      </c>
      <c r="W4" s="6"/>
      <c r="AE4" s="10" t="s">
        <v>5</v>
      </c>
    </row>
    <row r="5">
      <c r="A5" s="11" t="s">
        <v>6</v>
      </c>
      <c r="B5" s="12">
        <v>18.0</v>
      </c>
      <c r="C5" s="13">
        <v>4.0</v>
      </c>
      <c r="D5" s="13">
        <v>5.0</v>
      </c>
      <c r="E5" s="13">
        <v>5.0</v>
      </c>
      <c r="F5" s="13">
        <v>4.0</v>
      </c>
      <c r="G5" s="14"/>
      <c r="H5" s="15"/>
      <c r="I5" s="15"/>
      <c r="O5" s="15"/>
      <c r="P5" s="15"/>
      <c r="Q5" s="15"/>
      <c r="R5" s="15"/>
      <c r="W5" s="16">
        <f t="shared" ref="W5:W8" si="1">SUM(C5:V5)</f>
        <v>18</v>
      </c>
    </row>
    <row r="6">
      <c r="A6" s="17" t="s">
        <v>7</v>
      </c>
      <c r="B6" s="18">
        <v>18.0</v>
      </c>
      <c r="F6" s="19">
        <v>3.0</v>
      </c>
      <c r="G6" s="19">
        <v>3.0</v>
      </c>
      <c r="H6" s="19">
        <v>5.0</v>
      </c>
      <c r="I6" s="19">
        <v>4.0</v>
      </c>
      <c r="J6" s="19">
        <v>3.0</v>
      </c>
      <c r="W6" s="16">
        <f t="shared" si="1"/>
        <v>18</v>
      </c>
    </row>
    <row r="7">
      <c r="A7" s="11" t="s">
        <v>8</v>
      </c>
      <c r="B7" s="20">
        <v>16.0</v>
      </c>
      <c r="J7" s="19">
        <v>2.0</v>
      </c>
      <c r="K7" s="19">
        <v>4.0</v>
      </c>
      <c r="L7" s="19">
        <v>3.0</v>
      </c>
      <c r="M7" s="19">
        <v>4.0</v>
      </c>
      <c r="N7" s="19">
        <v>3.0</v>
      </c>
      <c r="W7" s="16">
        <f t="shared" si="1"/>
        <v>16</v>
      </c>
    </row>
    <row r="8">
      <c r="A8" s="21"/>
      <c r="B8" s="22"/>
      <c r="C8" s="23"/>
      <c r="D8" s="23"/>
      <c r="E8" s="23"/>
      <c r="F8" s="23"/>
      <c r="G8" s="24"/>
      <c r="H8" s="23"/>
      <c r="I8" s="23"/>
      <c r="J8" s="23"/>
      <c r="K8" s="23"/>
      <c r="L8" s="23"/>
      <c r="M8" s="23"/>
      <c r="N8" s="24"/>
      <c r="O8" s="23"/>
      <c r="P8" s="23"/>
      <c r="Q8" s="23"/>
      <c r="R8" s="23"/>
      <c r="S8" s="23"/>
      <c r="T8" s="23"/>
      <c r="U8" s="23"/>
      <c r="V8" s="23"/>
      <c r="W8" s="25">
        <f t="shared" si="1"/>
        <v>0</v>
      </c>
      <c r="Z8" s="10"/>
    </row>
    <row r="12">
      <c r="A12" s="26" t="s">
        <v>9</v>
      </c>
      <c r="B12" s="15">
        <f>SUM(B5:B8)</f>
        <v>52</v>
      </c>
      <c r="C12" s="15">
        <f t="shared" ref="C12:V12" si="2">B12-SUM(C5:C8)</f>
        <v>48</v>
      </c>
      <c r="D12" s="15">
        <f t="shared" si="2"/>
        <v>43</v>
      </c>
      <c r="E12" s="15">
        <f t="shared" si="2"/>
        <v>38</v>
      </c>
      <c r="F12" s="15">
        <f t="shared" si="2"/>
        <v>31</v>
      </c>
      <c r="G12" s="15">
        <f t="shared" si="2"/>
        <v>28</v>
      </c>
      <c r="H12" s="15">
        <f t="shared" si="2"/>
        <v>23</v>
      </c>
      <c r="I12" s="15">
        <f t="shared" si="2"/>
        <v>19</v>
      </c>
      <c r="J12" s="15">
        <f t="shared" si="2"/>
        <v>14</v>
      </c>
      <c r="K12" s="15">
        <f t="shared" si="2"/>
        <v>10</v>
      </c>
      <c r="L12" s="15">
        <f t="shared" si="2"/>
        <v>7</v>
      </c>
      <c r="M12" s="15">
        <f t="shared" si="2"/>
        <v>3</v>
      </c>
      <c r="N12" s="15">
        <f t="shared" si="2"/>
        <v>0</v>
      </c>
      <c r="O12" s="15">
        <f t="shared" si="2"/>
        <v>0</v>
      </c>
      <c r="P12" s="15">
        <f t="shared" si="2"/>
        <v>0</v>
      </c>
      <c r="Q12" s="15">
        <f t="shared" si="2"/>
        <v>0</v>
      </c>
      <c r="R12" s="15">
        <f t="shared" si="2"/>
        <v>0</v>
      </c>
      <c r="S12" s="15">
        <f t="shared" si="2"/>
        <v>0</v>
      </c>
      <c r="T12" s="15">
        <f t="shared" si="2"/>
        <v>0</v>
      </c>
      <c r="U12" s="15">
        <f t="shared" si="2"/>
        <v>0</v>
      </c>
      <c r="V12" s="15">
        <f t="shared" si="2"/>
        <v>0</v>
      </c>
    </row>
    <row r="14">
      <c r="A14" s="26" t="s">
        <v>10</v>
      </c>
      <c r="B14" s="15">
        <f>SUM(B5:B8)</f>
        <v>52</v>
      </c>
      <c r="C14" s="15">
        <f t="shared" ref="C14:T14" si="3">B14-(SUM($B$5:$B$8)/20)</f>
        <v>49.4</v>
      </c>
      <c r="D14" s="15">
        <f t="shared" si="3"/>
        <v>46.8</v>
      </c>
      <c r="E14" s="15">
        <f t="shared" si="3"/>
        <v>44.2</v>
      </c>
      <c r="F14" s="15">
        <f t="shared" si="3"/>
        <v>41.6</v>
      </c>
      <c r="G14" s="15">
        <f t="shared" si="3"/>
        <v>39</v>
      </c>
      <c r="H14" s="15">
        <f t="shared" si="3"/>
        <v>36.4</v>
      </c>
      <c r="I14" s="15">
        <f t="shared" si="3"/>
        <v>33.8</v>
      </c>
      <c r="J14" s="15">
        <f t="shared" si="3"/>
        <v>31.2</v>
      </c>
      <c r="K14" s="15">
        <f t="shared" si="3"/>
        <v>28.6</v>
      </c>
      <c r="L14" s="15">
        <f t="shared" si="3"/>
        <v>26</v>
      </c>
      <c r="M14" s="15">
        <f t="shared" si="3"/>
        <v>23.4</v>
      </c>
      <c r="N14" s="15">
        <f t="shared" si="3"/>
        <v>20.8</v>
      </c>
      <c r="O14" s="15">
        <f t="shared" si="3"/>
        <v>18.2</v>
      </c>
      <c r="P14" s="15">
        <f t="shared" si="3"/>
        <v>15.6</v>
      </c>
      <c r="Q14" s="15">
        <f t="shared" si="3"/>
        <v>13</v>
      </c>
      <c r="R14" s="15">
        <f t="shared" si="3"/>
        <v>10.4</v>
      </c>
      <c r="S14" s="15">
        <f t="shared" si="3"/>
        <v>7.8</v>
      </c>
      <c r="T14" s="15">
        <f t="shared" si="3"/>
        <v>5.2</v>
      </c>
      <c r="U14" s="15">
        <f>T14-(SUM($B$5)/20)</f>
        <v>4.3</v>
      </c>
      <c r="V14" s="15">
        <f>U14-(SUM($B$5:$B$8)/20)</f>
        <v>1.7</v>
      </c>
      <c r="AD14" s="10"/>
    </row>
    <row r="15" ht="15.75" customHeight="1">
      <c r="A15" s="15"/>
      <c r="B15" s="14"/>
      <c r="C15" s="15"/>
      <c r="D15" s="15"/>
      <c r="E15" s="15"/>
      <c r="F15" s="15"/>
      <c r="G15" s="14"/>
      <c r="H15" s="15"/>
      <c r="I15" s="15"/>
    </row>
    <row r="16" ht="15.75" customHeight="1">
      <c r="A16" s="15"/>
      <c r="B16" s="14"/>
      <c r="C16" s="15"/>
      <c r="D16" s="15"/>
      <c r="E16" s="15"/>
      <c r="F16" s="15"/>
      <c r="G16" s="14"/>
      <c r="H16" s="15"/>
      <c r="I16" s="15"/>
    </row>
    <row r="17" ht="15.75" customHeight="1">
      <c r="A17" s="15"/>
      <c r="B17" s="14"/>
      <c r="C17" s="15"/>
      <c r="D17" s="15"/>
      <c r="E17" s="15"/>
      <c r="F17" s="15"/>
      <c r="G17" s="15"/>
      <c r="H17" s="15"/>
      <c r="I17" s="15"/>
    </row>
    <row r="18" ht="15.75" customHeight="1">
      <c r="A18" s="15"/>
      <c r="B18" s="14"/>
      <c r="C18" s="15"/>
      <c r="D18" s="15"/>
      <c r="E18" s="15"/>
      <c r="F18" s="15"/>
      <c r="G18" s="15"/>
      <c r="H18" s="15"/>
      <c r="I18" s="15"/>
    </row>
    <row r="19" ht="15.75" customHeight="1">
      <c r="A19" s="15"/>
      <c r="B19" s="14"/>
      <c r="C19" s="15"/>
      <c r="D19" s="15"/>
      <c r="E19" s="15"/>
      <c r="F19" s="15"/>
      <c r="G19" s="15"/>
      <c r="H19" s="15"/>
      <c r="I19" s="1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